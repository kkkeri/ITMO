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gorkudias/Desktop/ITMO/моделирование/lab1/"/>
    </mc:Choice>
  </mc:AlternateContent>
  <xr:revisionPtr revIDLastSave="0" documentId="13_ncr:1_{C03D8B9F-1DCD-564A-BDD7-27A2EDA2D2A2}" xr6:coauthVersionLast="47" xr6:coauthVersionMax="47" xr10:uidLastSave="{00000000-0000-0000-0000-000000000000}"/>
  <bookViews>
    <workbookView xWindow="1340" yWindow="3580" windowWidth="29400" windowHeight="17160" activeTab="2" xr2:uid="{ACF2D07C-F066-42D3-9905-6EFE38814BE4}"/>
  </bookViews>
  <sheets>
    <sheet name="Лист1" sheetId="1" r:id="rId1"/>
    <sheet name="Лист2" sheetId="2" r:id="rId2"/>
    <sheet name="Лист3" sheetId="3" r:id="rId3"/>
  </sheets>
  <definedNames>
    <definedName name="_xlchart.v1.0" hidden="1">Лист1!$A$1:$A$300</definedName>
    <definedName name="_xlchart.v1.1" hidden="1">Лист2!$A$1:$A$300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AL2" i="1" l="1"/>
  <c r="AD2" i="1"/>
  <c r="E23" i="1" l="1"/>
  <c r="F23" i="1"/>
  <c r="G23" i="1"/>
  <c r="H23" i="1"/>
  <c r="I23" i="1"/>
  <c r="J23" i="1"/>
  <c r="I24" i="2" s="1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4" i="2"/>
  <c r="AK5" i="2"/>
  <c r="AM295" i="2"/>
  <c r="AM296" i="2"/>
  <c r="AM297" i="2"/>
  <c r="AM298" i="2"/>
  <c r="AM299" i="2"/>
  <c r="AM300" i="2"/>
  <c r="AM301" i="2"/>
  <c r="AM302" i="2"/>
  <c r="AM303" i="2"/>
  <c r="AM294" i="2"/>
  <c r="AL296" i="2"/>
  <c r="AL297" i="2"/>
  <c r="AL298" i="2"/>
  <c r="AL299" i="2"/>
  <c r="AL300" i="2"/>
  <c r="AL301" i="2"/>
  <c r="AL302" i="2"/>
  <c r="AL303" i="2"/>
  <c r="AL295" i="2"/>
  <c r="AK297" i="2"/>
  <c r="AK298" i="2"/>
  <c r="AK299" i="2"/>
  <c r="AK300" i="2"/>
  <c r="AK301" i="2"/>
  <c r="AK302" i="2"/>
  <c r="AK303" i="2"/>
  <c r="AK296" i="2"/>
  <c r="AJ297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4" i="2"/>
  <c r="AJ5" i="2"/>
  <c r="AJ298" i="2"/>
  <c r="AJ299" i="2"/>
  <c r="AJ300" i="2"/>
  <c r="AJ301" i="2"/>
  <c r="AJ302" i="2"/>
  <c r="AJ303" i="2"/>
  <c r="AI298" i="2"/>
  <c r="AI299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4" i="2"/>
  <c r="AI5" i="2"/>
  <c r="AI300" i="2"/>
  <c r="AI301" i="2"/>
  <c r="AI302" i="2"/>
  <c r="AI303" i="2"/>
  <c r="AH299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4" i="2"/>
  <c r="AH5" i="2"/>
  <c r="AH300" i="2"/>
  <c r="AH301" i="2"/>
  <c r="AH302" i="2"/>
  <c r="AH303" i="2"/>
  <c r="AG300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4" i="2"/>
  <c r="AG5" i="2"/>
  <c r="AG4" i="2"/>
  <c r="AG301" i="2"/>
  <c r="AG302" i="2"/>
  <c r="AG303" i="2"/>
  <c r="AF301" i="2"/>
  <c r="AG6" i="2"/>
  <c r="AG7" i="2"/>
  <c r="AG8" i="2"/>
  <c r="AG9" i="2"/>
  <c r="AG10" i="2"/>
  <c r="AG2" i="2" s="1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F5" i="2"/>
  <c r="AF302" i="2"/>
  <c r="AF303" i="2"/>
  <c r="AE302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4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3" i="2"/>
  <c r="E24" i="1"/>
  <c r="F24" i="1"/>
  <c r="J23" i="2"/>
  <c r="AD2" i="2"/>
  <c r="J33" i="2"/>
  <c r="I33" i="2"/>
  <c r="H33" i="2"/>
  <c r="G33" i="2"/>
  <c r="F33" i="2"/>
  <c r="F29" i="2" s="1"/>
  <c r="E33" i="2"/>
  <c r="E29" i="2" s="1"/>
  <c r="J31" i="2"/>
  <c r="I31" i="2"/>
  <c r="H31" i="2"/>
  <c r="G31" i="2"/>
  <c r="F31" i="2"/>
  <c r="E31" i="2"/>
  <c r="I23" i="2"/>
  <c r="H23" i="2"/>
  <c r="G23" i="2"/>
  <c r="F23" i="2"/>
  <c r="E23" i="2"/>
  <c r="I33" i="1"/>
  <c r="H33" i="1"/>
  <c r="G33" i="1"/>
  <c r="F33" i="1"/>
  <c r="E33" i="1"/>
  <c r="J33" i="1"/>
  <c r="J34" i="2" s="1"/>
  <c r="I31" i="1"/>
  <c r="E34" i="1" l="1"/>
  <c r="H24" i="2"/>
  <c r="G24" i="2"/>
  <c r="G34" i="1"/>
  <c r="H34" i="1"/>
  <c r="F34" i="1"/>
  <c r="I34" i="2"/>
  <c r="H34" i="2"/>
  <c r="F34" i="2"/>
  <c r="I34" i="1"/>
  <c r="F24" i="2"/>
  <c r="G34" i="2"/>
  <c r="E24" i="2"/>
  <c r="H24" i="1"/>
  <c r="J24" i="2"/>
  <c r="E34" i="2"/>
  <c r="I24" i="1"/>
  <c r="G24" i="1"/>
  <c r="AL2" i="2"/>
  <c r="AF2" i="2"/>
  <c r="AI2" i="2"/>
  <c r="AJ2" i="2"/>
  <c r="AE2" i="2"/>
  <c r="AM2" i="2"/>
  <c r="AK2" i="2"/>
  <c r="AH2" i="2"/>
  <c r="E25" i="2"/>
  <c r="E27" i="2"/>
  <c r="G35" i="2"/>
  <c r="J35" i="2"/>
  <c r="F25" i="2"/>
  <c r="F27" i="2"/>
  <c r="H35" i="2"/>
  <c r="I35" i="2"/>
  <c r="G25" i="2"/>
  <c r="G27" i="2"/>
  <c r="G29" i="2"/>
  <c r="I25" i="2"/>
  <c r="I27" i="2"/>
  <c r="I29" i="2"/>
  <c r="H25" i="2"/>
  <c r="H27" i="2"/>
  <c r="H29" i="2"/>
  <c r="J25" i="2"/>
  <c r="J27" i="2"/>
  <c r="J29" i="2"/>
  <c r="E35" i="2"/>
  <c r="F35" i="2"/>
  <c r="AE2" i="1"/>
  <c r="AF2" i="1"/>
  <c r="AG2" i="1"/>
  <c r="AH2" i="1"/>
  <c r="AI2" i="1"/>
  <c r="AJ2" i="1"/>
  <c r="AK2" i="1"/>
  <c r="AM2" i="1"/>
  <c r="E29" i="1"/>
  <c r="E27" i="1" l="1"/>
  <c r="E25" i="1"/>
  <c r="E35" i="1" l="1"/>
  <c r="J31" i="1"/>
  <c r="H31" i="1"/>
  <c r="G31" i="1"/>
  <c r="F31" i="1"/>
  <c r="E31" i="1"/>
  <c r="I35" i="1"/>
  <c r="H35" i="1"/>
  <c r="G35" i="1"/>
  <c r="F35" i="1"/>
  <c r="G32" i="1" l="1"/>
  <c r="E32" i="1"/>
  <c r="F32" i="1"/>
  <c r="H32" i="1"/>
  <c r="F32" i="2"/>
  <c r="G32" i="2"/>
  <c r="H32" i="2"/>
  <c r="J32" i="2"/>
  <c r="I32" i="2"/>
  <c r="E32" i="2"/>
  <c r="I32" i="1"/>
  <c r="J35" i="1"/>
  <c r="F36" i="1" s="1"/>
  <c r="G29" i="1"/>
  <c r="G25" i="1"/>
  <c r="G27" i="1"/>
  <c r="H29" i="1"/>
  <c r="H27" i="1"/>
  <c r="H25" i="1"/>
  <c r="H26" i="1" s="1"/>
  <c r="I27" i="1"/>
  <c r="I29" i="1"/>
  <c r="I25" i="1"/>
  <c r="F25" i="1"/>
  <c r="F27" i="1"/>
  <c r="F29" i="1"/>
  <c r="J25" i="1"/>
  <c r="J29" i="1"/>
  <c r="J27" i="1"/>
  <c r="H28" i="1" l="1"/>
  <c r="F26" i="2"/>
  <c r="G26" i="2"/>
  <c r="H26" i="2"/>
  <c r="I26" i="2"/>
  <c r="J26" i="2"/>
  <c r="E26" i="2"/>
  <c r="E26" i="1"/>
  <c r="G28" i="1"/>
  <c r="I28" i="2"/>
  <c r="E28" i="2"/>
  <c r="G28" i="2"/>
  <c r="H28" i="2"/>
  <c r="F28" i="2"/>
  <c r="J28" i="2"/>
  <c r="E28" i="1"/>
  <c r="H30" i="1"/>
  <c r="I26" i="1"/>
  <c r="G36" i="1"/>
  <c r="I36" i="1"/>
  <c r="G30" i="2"/>
  <c r="H30" i="2"/>
  <c r="I30" i="2"/>
  <c r="J30" i="2"/>
  <c r="E30" i="2"/>
  <c r="F30" i="2"/>
  <c r="E30" i="1"/>
  <c r="F28" i="1"/>
  <c r="F26" i="1"/>
  <c r="I30" i="1"/>
  <c r="F30" i="1"/>
  <c r="G26" i="1"/>
  <c r="G30" i="1"/>
  <c r="F36" i="2"/>
  <c r="G36" i="2"/>
  <c r="H36" i="2"/>
  <c r="I36" i="2"/>
  <c r="J36" i="2"/>
  <c r="E36" i="2"/>
  <c r="I28" i="1"/>
  <c r="E36" i="1"/>
  <c r="H36" i="1"/>
</calcChain>
</file>

<file path=xl/sharedStrings.xml><?xml version="1.0" encoding="utf-8"?>
<sst xmlns="http://schemas.openxmlformats.org/spreadsheetml/2006/main" count="54" uniqueCount="15">
  <si>
    <t>Характеристика</t>
  </si>
  <si>
    <t>Количество случайных величин</t>
  </si>
  <si>
    <t>Мат. ож.</t>
  </si>
  <si>
    <t>Знач,</t>
  </si>
  <si>
    <t>%</t>
  </si>
  <si>
    <t>Дов. инт. (0,9)</t>
  </si>
  <si>
    <t>Дов. инт. (0,95)</t>
  </si>
  <si>
    <t>Дов. инт. (0,99)</t>
  </si>
  <si>
    <t>Дисперсия</t>
  </si>
  <si>
    <t>С. к. о.</t>
  </si>
  <si>
    <t>К-т вариации</t>
  </si>
  <si>
    <t>.</t>
  </si>
  <si>
    <t>Сдвиг ЧП</t>
  </si>
  <si>
    <t>К-т АК</t>
  </si>
  <si>
    <t>Закон распределения: Гиперэкспоненциальное закон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</si>
</sst>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Arial"/>
      <family val="2"/>
      <charset val="204"/>
    </font>
    <font>
      <sz val="8"/>
      <name val="Aptos Narrow"/>
      <family val="2"/>
      <charset val="204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0" fillId="2" borderId="0" xfId="0" applyFill="1"/>
    <xf numFmtId="0" fontId="3" fillId="0" borderId="4" xfId="0" applyFont="1" applyBorder="1" applyAlignment="1">
      <alignment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8" fillId="0" borderId="0" xfId="0" applyFont="1"/>
    <xf numFmtId="0" fontId="8" fillId="4" borderId="0" xfId="0" applyFont="1" applyFill="1"/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2" xfId="0" applyFont="1" applyBorder="1" applyAlignment="1">
      <alignment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График значений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Лист1!$A$1:$A$300</c:f>
              <c:numCache>
                <c:formatCode>General</c:formatCode>
                <c:ptCount val="300"/>
                <c:pt idx="0">
                  <c:v>59.860999999999997</c:v>
                </c:pt>
                <c:pt idx="1">
                  <c:v>9.3529999999999998</c:v>
                </c:pt>
                <c:pt idx="2">
                  <c:v>4.7130000000000001</c:v>
                </c:pt>
                <c:pt idx="3">
                  <c:v>4.6120000000000001</c:v>
                </c:pt>
                <c:pt idx="4">
                  <c:v>6.48</c:v>
                </c:pt>
                <c:pt idx="5">
                  <c:v>7.944</c:v>
                </c:pt>
                <c:pt idx="6">
                  <c:v>5.2809999999999997</c:v>
                </c:pt>
                <c:pt idx="7">
                  <c:v>5.3449999999999998</c:v>
                </c:pt>
                <c:pt idx="8">
                  <c:v>9.2080000000000002</c:v>
                </c:pt>
                <c:pt idx="9">
                  <c:v>8.8230000000000004</c:v>
                </c:pt>
                <c:pt idx="10">
                  <c:v>4.7089999999999996</c:v>
                </c:pt>
                <c:pt idx="11">
                  <c:v>4.7229999999999999</c:v>
                </c:pt>
                <c:pt idx="12">
                  <c:v>6.556</c:v>
                </c:pt>
                <c:pt idx="13">
                  <c:v>58.414000000000001</c:v>
                </c:pt>
                <c:pt idx="14">
                  <c:v>5.8369999999999997</c:v>
                </c:pt>
                <c:pt idx="15">
                  <c:v>25.02</c:v>
                </c:pt>
                <c:pt idx="16">
                  <c:v>5.1109999999999998</c:v>
                </c:pt>
                <c:pt idx="17">
                  <c:v>7.8949999999999996</c:v>
                </c:pt>
                <c:pt idx="18">
                  <c:v>7.1989999999999998</c:v>
                </c:pt>
                <c:pt idx="19">
                  <c:v>4.6130000000000004</c:v>
                </c:pt>
                <c:pt idx="20">
                  <c:v>4.6050000000000004</c:v>
                </c:pt>
                <c:pt idx="21">
                  <c:v>9.218</c:v>
                </c:pt>
                <c:pt idx="22">
                  <c:v>8.3559999999999999</c:v>
                </c:pt>
                <c:pt idx="23">
                  <c:v>7.548</c:v>
                </c:pt>
                <c:pt idx="24">
                  <c:v>4.9269999999999996</c:v>
                </c:pt>
                <c:pt idx="25">
                  <c:v>5.52</c:v>
                </c:pt>
                <c:pt idx="26">
                  <c:v>5.226</c:v>
                </c:pt>
                <c:pt idx="27">
                  <c:v>5.1719999999999997</c:v>
                </c:pt>
                <c:pt idx="28">
                  <c:v>9.0459999999999994</c:v>
                </c:pt>
                <c:pt idx="29">
                  <c:v>4.6120000000000001</c:v>
                </c:pt>
                <c:pt idx="30">
                  <c:v>6.9279999999999999</c:v>
                </c:pt>
                <c:pt idx="31">
                  <c:v>5.4459999999999997</c:v>
                </c:pt>
                <c:pt idx="32">
                  <c:v>9.7270000000000003</c:v>
                </c:pt>
                <c:pt idx="33">
                  <c:v>107.898</c:v>
                </c:pt>
                <c:pt idx="34">
                  <c:v>7.1429999999999998</c:v>
                </c:pt>
                <c:pt idx="35">
                  <c:v>4.6779999999999999</c:v>
                </c:pt>
                <c:pt idx="36">
                  <c:v>5.0830000000000002</c:v>
                </c:pt>
                <c:pt idx="37">
                  <c:v>4.617</c:v>
                </c:pt>
                <c:pt idx="38">
                  <c:v>6.3570000000000002</c:v>
                </c:pt>
                <c:pt idx="39">
                  <c:v>35.72</c:v>
                </c:pt>
                <c:pt idx="40">
                  <c:v>44.366</c:v>
                </c:pt>
                <c:pt idx="41">
                  <c:v>30.173999999999999</c:v>
                </c:pt>
                <c:pt idx="42">
                  <c:v>5.2990000000000004</c:v>
                </c:pt>
                <c:pt idx="43">
                  <c:v>4.6630000000000003</c:v>
                </c:pt>
                <c:pt idx="44">
                  <c:v>9.7530000000000001</c:v>
                </c:pt>
                <c:pt idx="45">
                  <c:v>6.8029999999999999</c:v>
                </c:pt>
                <c:pt idx="46">
                  <c:v>7.7949999999999999</c:v>
                </c:pt>
                <c:pt idx="47">
                  <c:v>4.9509999999999996</c:v>
                </c:pt>
                <c:pt idx="48">
                  <c:v>9.8079999999999998</c:v>
                </c:pt>
                <c:pt idx="49">
                  <c:v>64.710999999999999</c:v>
                </c:pt>
                <c:pt idx="50">
                  <c:v>7.3470000000000004</c:v>
                </c:pt>
                <c:pt idx="51">
                  <c:v>5.3920000000000003</c:v>
                </c:pt>
                <c:pt idx="52">
                  <c:v>5.702</c:v>
                </c:pt>
                <c:pt idx="53">
                  <c:v>6.9829999999999997</c:v>
                </c:pt>
                <c:pt idx="54">
                  <c:v>6.2119999999999997</c:v>
                </c:pt>
                <c:pt idx="55">
                  <c:v>9.1739999999999995</c:v>
                </c:pt>
                <c:pt idx="56">
                  <c:v>27.79</c:v>
                </c:pt>
                <c:pt idx="57">
                  <c:v>4.7949999999999999</c:v>
                </c:pt>
                <c:pt idx="58">
                  <c:v>66.733000000000004</c:v>
                </c:pt>
                <c:pt idx="59">
                  <c:v>53.781999999999996</c:v>
                </c:pt>
                <c:pt idx="60">
                  <c:v>6.6420000000000003</c:v>
                </c:pt>
                <c:pt idx="61">
                  <c:v>4.6989999999999998</c:v>
                </c:pt>
                <c:pt idx="62">
                  <c:v>11.933</c:v>
                </c:pt>
                <c:pt idx="63">
                  <c:v>4.6059999999999999</c:v>
                </c:pt>
                <c:pt idx="64">
                  <c:v>5.9619999999999997</c:v>
                </c:pt>
                <c:pt idx="65">
                  <c:v>7.9809999999999999</c:v>
                </c:pt>
                <c:pt idx="66">
                  <c:v>4.6059999999999999</c:v>
                </c:pt>
                <c:pt idx="67">
                  <c:v>4.6440000000000001</c:v>
                </c:pt>
                <c:pt idx="68">
                  <c:v>6.9779999999999998</c:v>
                </c:pt>
                <c:pt idx="69">
                  <c:v>4.62</c:v>
                </c:pt>
                <c:pt idx="70">
                  <c:v>5.71</c:v>
                </c:pt>
                <c:pt idx="71">
                  <c:v>4.6680000000000001</c:v>
                </c:pt>
                <c:pt idx="72">
                  <c:v>190.6</c:v>
                </c:pt>
                <c:pt idx="73">
                  <c:v>9.8559999999999999</c:v>
                </c:pt>
                <c:pt idx="74">
                  <c:v>8.3320000000000007</c:v>
                </c:pt>
                <c:pt idx="75">
                  <c:v>18.488</c:v>
                </c:pt>
                <c:pt idx="76">
                  <c:v>5.9779999999999998</c:v>
                </c:pt>
                <c:pt idx="77">
                  <c:v>23.256</c:v>
                </c:pt>
                <c:pt idx="78">
                  <c:v>6.298</c:v>
                </c:pt>
                <c:pt idx="79">
                  <c:v>7.7750000000000004</c:v>
                </c:pt>
                <c:pt idx="80">
                  <c:v>4.641</c:v>
                </c:pt>
                <c:pt idx="81">
                  <c:v>9.2420000000000009</c:v>
                </c:pt>
                <c:pt idx="82">
                  <c:v>9.9779999999999998</c:v>
                </c:pt>
                <c:pt idx="83">
                  <c:v>7.8490000000000002</c:v>
                </c:pt>
                <c:pt idx="84">
                  <c:v>4.7270000000000003</c:v>
                </c:pt>
                <c:pt idx="85">
                  <c:v>9.4049999999999994</c:v>
                </c:pt>
                <c:pt idx="86">
                  <c:v>8.0449999999999999</c:v>
                </c:pt>
                <c:pt idx="87">
                  <c:v>6.4109999999999996</c:v>
                </c:pt>
                <c:pt idx="88">
                  <c:v>128.553</c:v>
                </c:pt>
                <c:pt idx="89">
                  <c:v>17.262</c:v>
                </c:pt>
                <c:pt idx="90">
                  <c:v>5.367</c:v>
                </c:pt>
                <c:pt idx="91">
                  <c:v>6.0659999999999998</c:v>
                </c:pt>
                <c:pt idx="92">
                  <c:v>5.2649999999999997</c:v>
                </c:pt>
                <c:pt idx="93">
                  <c:v>4.6349999999999998</c:v>
                </c:pt>
                <c:pt idx="94">
                  <c:v>7.1159999999999997</c:v>
                </c:pt>
                <c:pt idx="95">
                  <c:v>181.25200000000001</c:v>
                </c:pt>
                <c:pt idx="96">
                  <c:v>4.8719999999999999</c:v>
                </c:pt>
                <c:pt idx="97">
                  <c:v>7.6139999999999999</c:v>
                </c:pt>
                <c:pt idx="98">
                  <c:v>4.6689999999999996</c:v>
                </c:pt>
                <c:pt idx="99">
                  <c:v>4.74</c:v>
                </c:pt>
                <c:pt idx="100">
                  <c:v>8.6319999999999997</c:v>
                </c:pt>
                <c:pt idx="101">
                  <c:v>6.2539999999999996</c:v>
                </c:pt>
                <c:pt idx="102">
                  <c:v>7.3310000000000004</c:v>
                </c:pt>
                <c:pt idx="103">
                  <c:v>5.1429999999999998</c:v>
                </c:pt>
                <c:pt idx="104">
                  <c:v>105.455</c:v>
                </c:pt>
                <c:pt idx="105">
                  <c:v>100.11</c:v>
                </c:pt>
                <c:pt idx="106">
                  <c:v>8.0830000000000002</c:v>
                </c:pt>
                <c:pt idx="107">
                  <c:v>8.43</c:v>
                </c:pt>
                <c:pt idx="108">
                  <c:v>41.194000000000003</c:v>
                </c:pt>
                <c:pt idx="109">
                  <c:v>7.3410000000000002</c:v>
                </c:pt>
                <c:pt idx="110">
                  <c:v>5.6779999999999999</c:v>
                </c:pt>
                <c:pt idx="111">
                  <c:v>8.859</c:v>
                </c:pt>
                <c:pt idx="112">
                  <c:v>9.4019999999999992</c:v>
                </c:pt>
                <c:pt idx="113">
                  <c:v>17.835000000000001</c:v>
                </c:pt>
                <c:pt idx="114">
                  <c:v>6.4870000000000001</c:v>
                </c:pt>
                <c:pt idx="115">
                  <c:v>6.02</c:v>
                </c:pt>
                <c:pt idx="116">
                  <c:v>8.2059999999999995</c:v>
                </c:pt>
                <c:pt idx="117">
                  <c:v>9.0289999999999999</c:v>
                </c:pt>
                <c:pt idx="118">
                  <c:v>4.8780000000000001</c:v>
                </c:pt>
                <c:pt idx="119">
                  <c:v>5.6379999999999999</c:v>
                </c:pt>
                <c:pt idx="120">
                  <c:v>4.6100000000000003</c:v>
                </c:pt>
                <c:pt idx="121">
                  <c:v>4.9420000000000002</c:v>
                </c:pt>
                <c:pt idx="122">
                  <c:v>6.0060000000000002</c:v>
                </c:pt>
                <c:pt idx="123">
                  <c:v>4.62</c:v>
                </c:pt>
                <c:pt idx="124">
                  <c:v>8.5549999999999997</c:v>
                </c:pt>
                <c:pt idx="125">
                  <c:v>8.734</c:v>
                </c:pt>
                <c:pt idx="126">
                  <c:v>5.9329999999999998</c:v>
                </c:pt>
                <c:pt idx="127">
                  <c:v>6.7409999999999997</c:v>
                </c:pt>
                <c:pt idx="128">
                  <c:v>6.234</c:v>
                </c:pt>
                <c:pt idx="129">
                  <c:v>7.3220000000000001</c:v>
                </c:pt>
                <c:pt idx="130">
                  <c:v>6.73</c:v>
                </c:pt>
                <c:pt idx="131">
                  <c:v>7.444</c:v>
                </c:pt>
                <c:pt idx="132">
                  <c:v>5.5190000000000001</c:v>
                </c:pt>
                <c:pt idx="133">
                  <c:v>14.038</c:v>
                </c:pt>
                <c:pt idx="134">
                  <c:v>4.7690000000000001</c:v>
                </c:pt>
                <c:pt idx="135">
                  <c:v>5.2779999999999996</c:v>
                </c:pt>
                <c:pt idx="136">
                  <c:v>16.643999999999998</c:v>
                </c:pt>
                <c:pt idx="137">
                  <c:v>4.6539999999999999</c:v>
                </c:pt>
                <c:pt idx="138">
                  <c:v>69.468999999999994</c:v>
                </c:pt>
                <c:pt idx="139">
                  <c:v>5.8680000000000003</c:v>
                </c:pt>
                <c:pt idx="140">
                  <c:v>7.4269999999999996</c:v>
                </c:pt>
                <c:pt idx="141">
                  <c:v>5.4989999999999997</c:v>
                </c:pt>
                <c:pt idx="142">
                  <c:v>67.009</c:v>
                </c:pt>
                <c:pt idx="143">
                  <c:v>9.6950000000000003</c:v>
                </c:pt>
                <c:pt idx="144">
                  <c:v>18.274000000000001</c:v>
                </c:pt>
                <c:pt idx="145">
                  <c:v>4.843</c:v>
                </c:pt>
                <c:pt idx="146">
                  <c:v>7.72</c:v>
                </c:pt>
                <c:pt idx="147">
                  <c:v>9.4420000000000002</c:v>
                </c:pt>
                <c:pt idx="148">
                  <c:v>4.8639999999999999</c:v>
                </c:pt>
                <c:pt idx="149">
                  <c:v>8.1609999999999996</c:v>
                </c:pt>
                <c:pt idx="150">
                  <c:v>7.9219999999999997</c:v>
                </c:pt>
                <c:pt idx="151">
                  <c:v>8.3719999999999999</c:v>
                </c:pt>
                <c:pt idx="152">
                  <c:v>4.6980000000000004</c:v>
                </c:pt>
                <c:pt idx="153">
                  <c:v>5.0739999999999998</c:v>
                </c:pt>
                <c:pt idx="154">
                  <c:v>33.585999999999999</c:v>
                </c:pt>
                <c:pt idx="155">
                  <c:v>4.657</c:v>
                </c:pt>
                <c:pt idx="156">
                  <c:v>7.3460000000000001</c:v>
                </c:pt>
                <c:pt idx="157">
                  <c:v>4.79</c:v>
                </c:pt>
                <c:pt idx="158">
                  <c:v>5.05</c:v>
                </c:pt>
                <c:pt idx="159">
                  <c:v>6.0839999999999996</c:v>
                </c:pt>
                <c:pt idx="160">
                  <c:v>7.0309999999999997</c:v>
                </c:pt>
                <c:pt idx="161">
                  <c:v>16.140999999999998</c:v>
                </c:pt>
                <c:pt idx="162">
                  <c:v>5.2</c:v>
                </c:pt>
                <c:pt idx="163">
                  <c:v>7.843</c:v>
                </c:pt>
                <c:pt idx="164">
                  <c:v>5.8150000000000004</c:v>
                </c:pt>
                <c:pt idx="165">
                  <c:v>4.9619999999999997</c:v>
                </c:pt>
                <c:pt idx="166">
                  <c:v>16.077999999999999</c:v>
                </c:pt>
                <c:pt idx="167">
                  <c:v>85.835999999999999</c:v>
                </c:pt>
                <c:pt idx="168">
                  <c:v>9.08</c:v>
                </c:pt>
                <c:pt idx="169">
                  <c:v>7.4009999999999998</c:v>
                </c:pt>
                <c:pt idx="170">
                  <c:v>6.9180000000000001</c:v>
                </c:pt>
                <c:pt idx="171">
                  <c:v>5.2050000000000001</c:v>
                </c:pt>
                <c:pt idx="172">
                  <c:v>7.7629999999999999</c:v>
                </c:pt>
                <c:pt idx="173">
                  <c:v>6.73</c:v>
                </c:pt>
                <c:pt idx="174">
                  <c:v>4.6120000000000001</c:v>
                </c:pt>
                <c:pt idx="175">
                  <c:v>16.355</c:v>
                </c:pt>
                <c:pt idx="176">
                  <c:v>8.3659999999999997</c:v>
                </c:pt>
                <c:pt idx="177">
                  <c:v>6.4710000000000001</c:v>
                </c:pt>
                <c:pt idx="178">
                  <c:v>7.8739999999999997</c:v>
                </c:pt>
                <c:pt idx="179">
                  <c:v>7.9509999999999996</c:v>
                </c:pt>
                <c:pt idx="180">
                  <c:v>45.537999999999997</c:v>
                </c:pt>
                <c:pt idx="181">
                  <c:v>4.9580000000000002</c:v>
                </c:pt>
                <c:pt idx="182">
                  <c:v>6.2610000000000001</c:v>
                </c:pt>
                <c:pt idx="183">
                  <c:v>4.694</c:v>
                </c:pt>
                <c:pt idx="184">
                  <c:v>4.62</c:v>
                </c:pt>
                <c:pt idx="185">
                  <c:v>5.4690000000000003</c:v>
                </c:pt>
                <c:pt idx="186">
                  <c:v>8.1219999999999999</c:v>
                </c:pt>
                <c:pt idx="187">
                  <c:v>21</c:v>
                </c:pt>
                <c:pt idx="188">
                  <c:v>6.3310000000000004</c:v>
                </c:pt>
                <c:pt idx="189">
                  <c:v>4.625</c:v>
                </c:pt>
                <c:pt idx="190">
                  <c:v>4.6890000000000001</c:v>
                </c:pt>
                <c:pt idx="191">
                  <c:v>5.3129999999999997</c:v>
                </c:pt>
                <c:pt idx="192">
                  <c:v>35.942999999999998</c:v>
                </c:pt>
                <c:pt idx="193">
                  <c:v>5.298</c:v>
                </c:pt>
                <c:pt idx="194">
                  <c:v>6.2770000000000001</c:v>
                </c:pt>
                <c:pt idx="195">
                  <c:v>7.4809999999999999</c:v>
                </c:pt>
                <c:pt idx="196">
                  <c:v>4.7270000000000003</c:v>
                </c:pt>
                <c:pt idx="197">
                  <c:v>4.8410000000000002</c:v>
                </c:pt>
                <c:pt idx="198">
                  <c:v>6.76</c:v>
                </c:pt>
                <c:pt idx="199">
                  <c:v>25.568000000000001</c:v>
                </c:pt>
                <c:pt idx="200">
                  <c:v>8.5069999999999997</c:v>
                </c:pt>
                <c:pt idx="201">
                  <c:v>4.6180000000000003</c:v>
                </c:pt>
                <c:pt idx="202">
                  <c:v>4.6449999999999996</c:v>
                </c:pt>
                <c:pt idx="203">
                  <c:v>66.064999999999998</c:v>
                </c:pt>
                <c:pt idx="204">
                  <c:v>9.7430000000000003</c:v>
                </c:pt>
                <c:pt idx="205">
                  <c:v>33.363</c:v>
                </c:pt>
                <c:pt idx="206">
                  <c:v>6.37</c:v>
                </c:pt>
                <c:pt idx="207">
                  <c:v>5.7409999999999997</c:v>
                </c:pt>
                <c:pt idx="208">
                  <c:v>6.4189999999999996</c:v>
                </c:pt>
                <c:pt idx="209">
                  <c:v>7.2270000000000003</c:v>
                </c:pt>
                <c:pt idx="210">
                  <c:v>9.6549999999999994</c:v>
                </c:pt>
                <c:pt idx="211">
                  <c:v>15.372999999999999</c:v>
                </c:pt>
                <c:pt idx="212">
                  <c:v>27.791</c:v>
                </c:pt>
                <c:pt idx="213">
                  <c:v>5.0540000000000003</c:v>
                </c:pt>
                <c:pt idx="214">
                  <c:v>5.83</c:v>
                </c:pt>
                <c:pt idx="215">
                  <c:v>5.3760000000000003</c:v>
                </c:pt>
                <c:pt idx="216">
                  <c:v>5.7160000000000002</c:v>
                </c:pt>
                <c:pt idx="217">
                  <c:v>8.5039999999999996</c:v>
                </c:pt>
                <c:pt idx="218">
                  <c:v>6.1369999999999996</c:v>
                </c:pt>
                <c:pt idx="219">
                  <c:v>4.6159999999999997</c:v>
                </c:pt>
                <c:pt idx="220">
                  <c:v>4.99</c:v>
                </c:pt>
                <c:pt idx="221">
                  <c:v>26.254999999999999</c:v>
                </c:pt>
                <c:pt idx="222">
                  <c:v>5.734</c:v>
                </c:pt>
                <c:pt idx="223">
                  <c:v>4.7939999999999996</c:v>
                </c:pt>
                <c:pt idx="224">
                  <c:v>6.9160000000000004</c:v>
                </c:pt>
                <c:pt idx="225">
                  <c:v>6.6029999999999998</c:v>
                </c:pt>
                <c:pt idx="226">
                  <c:v>8.3130000000000006</c:v>
                </c:pt>
                <c:pt idx="227">
                  <c:v>8.7620000000000005</c:v>
                </c:pt>
                <c:pt idx="228">
                  <c:v>44.622999999999998</c:v>
                </c:pt>
                <c:pt idx="229">
                  <c:v>4.6349999999999998</c:v>
                </c:pt>
                <c:pt idx="230">
                  <c:v>8.7010000000000005</c:v>
                </c:pt>
                <c:pt idx="231">
                  <c:v>49.372999999999998</c:v>
                </c:pt>
                <c:pt idx="232">
                  <c:v>9.202</c:v>
                </c:pt>
                <c:pt idx="233">
                  <c:v>9.3230000000000004</c:v>
                </c:pt>
                <c:pt idx="234">
                  <c:v>6.9790000000000001</c:v>
                </c:pt>
                <c:pt idx="235">
                  <c:v>5.806</c:v>
                </c:pt>
                <c:pt idx="236">
                  <c:v>5.87</c:v>
                </c:pt>
                <c:pt idx="237">
                  <c:v>9.718</c:v>
                </c:pt>
                <c:pt idx="238">
                  <c:v>4.6879999999999997</c:v>
                </c:pt>
                <c:pt idx="239">
                  <c:v>5.0359999999999996</c:v>
                </c:pt>
                <c:pt idx="240">
                  <c:v>5.5469999999999997</c:v>
                </c:pt>
                <c:pt idx="241">
                  <c:v>7.4660000000000002</c:v>
                </c:pt>
                <c:pt idx="242">
                  <c:v>7.4260000000000002</c:v>
                </c:pt>
                <c:pt idx="243">
                  <c:v>4.6550000000000002</c:v>
                </c:pt>
                <c:pt idx="244">
                  <c:v>6.9420000000000002</c:v>
                </c:pt>
                <c:pt idx="245">
                  <c:v>5.0910000000000002</c:v>
                </c:pt>
                <c:pt idx="246">
                  <c:v>4.6130000000000004</c:v>
                </c:pt>
                <c:pt idx="247">
                  <c:v>8.5050000000000008</c:v>
                </c:pt>
                <c:pt idx="248">
                  <c:v>4.8920000000000003</c:v>
                </c:pt>
                <c:pt idx="249">
                  <c:v>96.433999999999997</c:v>
                </c:pt>
                <c:pt idx="250">
                  <c:v>9.5079999999999991</c:v>
                </c:pt>
                <c:pt idx="251">
                  <c:v>7.2160000000000002</c:v>
                </c:pt>
                <c:pt idx="252">
                  <c:v>9.5500000000000007</c:v>
                </c:pt>
                <c:pt idx="253">
                  <c:v>4.9779999999999998</c:v>
                </c:pt>
                <c:pt idx="254">
                  <c:v>8.891</c:v>
                </c:pt>
                <c:pt idx="255">
                  <c:v>273.30399999999997</c:v>
                </c:pt>
                <c:pt idx="256">
                  <c:v>66.930000000000007</c:v>
                </c:pt>
                <c:pt idx="257">
                  <c:v>9.27</c:v>
                </c:pt>
                <c:pt idx="258">
                  <c:v>23.931999999999999</c:v>
                </c:pt>
                <c:pt idx="259">
                  <c:v>55.281999999999996</c:v>
                </c:pt>
                <c:pt idx="260">
                  <c:v>20.449000000000002</c:v>
                </c:pt>
                <c:pt idx="261">
                  <c:v>5.2789999999999999</c:v>
                </c:pt>
                <c:pt idx="262">
                  <c:v>5.7889999999999997</c:v>
                </c:pt>
                <c:pt idx="263">
                  <c:v>4.6399999999999997</c:v>
                </c:pt>
                <c:pt idx="264">
                  <c:v>7.5679999999999996</c:v>
                </c:pt>
                <c:pt idx="265">
                  <c:v>5.3239999999999998</c:v>
                </c:pt>
                <c:pt idx="266">
                  <c:v>6.6210000000000004</c:v>
                </c:pt>
                <c:pt idx="267">
                  <c:v>5.3339999999999996</c:v>
                </c:pt>
                <c:pt idx="268">
                  <c:v>4.6959999999999997</c:v>
                </c:pt>
                <c:pt idx="269">
                  <c:v>5.32</c:v>
                </c:pt>
                <c:pt idx="270">
                  <c:v>8.9109999999999996</c:v>
                </c:pt>
                <c:pt idx="271">
                  <c:v>9.484</c:v>
                </c:pt>
                <c:pt idx="272">
                  <c:v>6.0369999999999999</c:v>
                </c:pt>
                <c:pt idx="273">
                  <c:v>7.4260000000000002</c:v>
                </c:pt>
                <c:pt idx="274">
                  <c:v>8.1219999999999999</c:v>
                </c:pt>
                <c:pt idx="275">
                  <c:v>66.733999999999995</c:v>
                </c:pt>
                <c:pt idx="276">
                  <c:v>4.6239999999999997</c:v>
                </c:pt>
                <c:pt idx="277">
                  <c:v>4.9509999999999996</c:v>
                </c:pt>
                <c:pt idx="278">
                  <c:v>5.9870000000000001</c:v>
                </c:pt>
                <c:pt idx="279">
                  <c:v>5.4969999999999999</c:v>
                </c:pt>
                <c:pt idx="280">
                  <c:v>49.82</c:v>
                </c:pt>
                <c:pt idx="281">
                  <c:v>53.902999999999999</c:v>
                </c:pt>
                <c:pt idx="282">
                  <c:v>8.3469999999999995</c:v>
                </c:pt>
                <c:pt idx="283">
                  <c:v>9.31</c:v>
                </c:pt>
                <c:pt idx="284">
                  <c:v>5.4749999999999996</c:v>
                </c:pt>
                <c:pt idx="285">
                  <c:v>4.875</c:v>
                </c:pt>
                <c:pt idx="286">
                  <c:v>48.32</c:v>
                </c:pt>
                <c:pt idx="287">
                  <c:v>8.3670000000000009</c:v>
                </c:pt>
                <c:pt idx="288">
                  <c:v>7.0789999999999997</c:v>
                </c:pt>
                <c:pt idx="289">
                  <c:v>5.407</c:v>
                </c:pt>
                <c:pt idx="290">
                  <c:v>15.542</c:v>
                </c:pt>
                <c:pt idx="291">
                  <c:v>14.11</c:v>
                </c:pt>
                <c:pt idx="292">
                  <c:v>4.7569999999999997</c:v>
                </c:pt>
                <c:pt idx="293">
                  <c:v>8.1289999999999996</c:v>
                </c:pt>
                <c:pt idx="294">
                  <c:v>4.8949999999999996</c:v>
                </c:pt>
                <c:pt idx="295">
                  <c:v>5.7910000000000004</c:v>
                </c:pt>
                <c:pt idx="296">
                  <c:v>23.228000000000002</c:v>
                </c:pt>
                <c:pt idx="297">
                  <c:v>29.795000000000002</c:v>
                </c:pt>
                <c:pt idx="298">
                  <c:v>4.9610000000000003</c:v>
                </c:pt>
                <c:pt idx="299">
                  <c:v>5.8129999999999997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B-416A-B053-916E2A70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556528"/>
        <c:axId val="1154558928"/>
      </c:lineChart>
      <c:catAx>
        <c:axId val="115455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558928"/>
        <c:crosses val="autoZero"/>
        <c:auto val="1"/>
        <c:lblAlgn val="ctr"/>
        <c:lblOffset val="100"/>
        <c:noMultiLvlLbl val="0"/>
      </c:catAx>
      <c:valAx>
        <c:axId val="11545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5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Автокорреляционный анализ</a:t>
            </a: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Лист1!$AD$1:$AM$1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Лист1!$AD$2:$AM$2</c:f>
              <c:numCache>
                <c:formatCode>0.0000</c:formatCode>
                <c:ptCount val="10"/>
                <c:pt idx="0">
                  <c:v>6.8572608709810759E-2</c:v>
                </c:pt>
                <c:pt idx="1">
                  <c:v>-6.6529944699233595E-2</c:v>
                </c:pt>
                <c:pt idx="2">
                  <c:v>-2.5656613350922383E-2</c:v>
                </c:pt>
                <c:pt idx="3">
                  <c:v>2.0515819536578491E-3</c:v>
                </c:pt>
                <c:pt idx="4">
                  <c:v>-3.2502505756904346E-2</c:v>
                </c:pt>
                <c:pt idx="5">
                  <c:v>5.6598926212404713E-2</c:v>
                </c:pt>
                <c:pt idx="6">
                  <c:v>5.5466316620257965E-2</c:v>
                </c:pt>
                <c:pt idx="7">
                  <c:v>-7.4417428753105253E-2</c:v>
                </c:pt>
                <c:pt idx="8">
                  <c:v>2.6390244223896943E-2</c:v>
                </c:pt>
                <c:pt idx="9">
                  <c:v>2.3421995929258404E-2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3-4BB0-A523-68D73BD1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095183"/>
        <c:axId val="731078863"/>
      </c:lineChart>
      <c:catAx>
        <c:axId val="73109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Смещение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1078863"/>
        <c:crosses val="autoZero"/>
        <c:auto val="1"/>
        <c:lblAlgn val="ctr"/>
        <c:lblOffset val="100"/>
        <c:noMultiLvlLbl val="0"/>
      </c:catAx>
      <c:valAx>
        <c:axId val="7310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Коэфицент автокорелляции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109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Лист2!$A$1:$A$300</c:f>
              <c:numCache>
                <c:formatCode>General</c:formatCode>
                <c:ptCount val="300"/>
                <c:pt idx="0">
                  <c:v>4.6849640071557896</c:v>
                </c:pt>
                <c:pt idx="1">
                  <c:v>4.3023189820370997E-2</c:v>
                </c:pt>
                <c:pt idx="2">
                  <c:v>3.434501430983198</c:v>
                </c:pt>
                <c:pt idx="3">
                  <c:v>1.1980629476460529</c:v>
                </c:pt>
                <c:pt idx="4">
                  <c:v>19.197822498212521</c:v>
                </c:pt>
                <c:pt idx="5">
                  <c:v>13.41269610922771</c:v>
                </c:pt>
                <c:pt idx="6">
                  <c:v>44.72883677205369</c:v>
                </c:pt>
                <c:pt idx="7">
                  <c:v>2.645055165506085</c:v>
                </c:pt>
                <c:pt idx="8">
                  <c:v>3.482134264920183</c:v>
                </c:pt>
                <c:pt idx="9">
                  <c:v>0.74656760107906694</c:v>
                </c:pt>
                <c:pt idx="10">
                  <c:v>0.902907504019408</c:v>
                </c:pt>
                <c:pt idx="11">
                  <c:v>0.24115809461232601</c:v>
                </c:pt>
                <c:pt idx="12">
                  <c:v>2.2651086133351028</c:v>
                </c:pt>
                <c:pt idx="13">
                  <c:v>3.0694651705834208</c:v>
                </c:pt>
                <c:pt idx="14">
                  <c:v>0.72086473953368302</c:v>
                </c:pt>
                <c:pt idx="15">
                  <c:v>1.6246154705785689</c:v>
                </c:pt>
                <c:pt idx="16">
                  <c:v>3.0990787936121711</c:v>
                </c:pt>
                <c:pt idx="17">
                  <c:v>3.3035632884296571</c:v>
                </c:pt>
                <c:pt idx="18">
                  <c:v>0.99493259426785896</c:v>
                </c:pt>
                <c:pt idx="19">
                  <c:v>3.6606518359240002E-3</c:v>
                </c:pt>
                <c:pt idx="20">
                  <c:v>14.860597716977621</c:v>
                </c:pt>
                <c:pt idx="21">
                  <c:v>3.020449365722826</c:v>
                </c:pt>
                <c:pt idx="22">
                  <c:v>0.87024585445884395</c:v>
                </c:pt>
                <c:pt idx="23">
                  <c:v>0.88341313779128705</c:v>
                </c:pt>
                <c:pt idx="24">
                  <c:v>6.5755809243100947</c:v>
                </c:pt>
                <c:pt idx="25">
                  <c:v>4.0006411834307283</c:v>
                </c:pt>
                <c:pt idx="26">
                  <c:v>2.8929408114782809</c:v>
                </c:pt>
                <c:pt idx="27">
                  <c:v>0.45716243330027301</c:v>
                </c:pt>
                <c:pt idx="28">
                  <c:v>1.20642849534251</c:v>
                </c:pt>
                <c:pt idx="29">
                  <c:v>3.186457145869273</c:v>
                </c:pt>
                <c:pt idx="30">
                  <c:v>66.18760034366187</c:v>
                </c:pt>
                <c:pt idx="31">
                  <c:v>1.05777557056058</c:v>
                </c:pt>
                <c:pt idx="32">
                  <c:v>1.9484038627893661</c:v>
                </c:pt>
                <c:pt idx="33">
                  <c:v>51.092620576120702</c:v>
                </c:pt>
                <c:pt idx="34">
                  <c:v>92.75499374416421</c:v>
                </c:pt>
                <c:pt idx="35">
                  <c:v>6.6289891448502409</c:v>
                </c:pt>
                <c:pt idx="36">
                  <c:v>0.896266360134791</c:v>
                </c:pt>
                <c:pt idx="37">
                  <c:v>4.3942718839405366</c:v>
                </c:pt>
                <c:pt idx="38">
                  <c:v>2.5736218492217811</c:v>
                </c:pt>
                <c:pt idx="39">
                  <c:v>9.844974621221688</c:v>
                </c:pt>
                <c:pt idx="40">
                  <c:v>5.043702670763281</c:v>
                </c:pt>
                <c:pt idx="41">
                  <c:v>2.2583603814875421</c:v>
                </c:pt>
                <c:pt idx="42">
                  <c:v>6.60375187069672</c:v>
                </c:pt>
                <c:pt idx="43">
                  <c:v>1.561325401899351</c:v>
                </c:pt>
                <c:pt idx="44">
                  <c:v>2.6819168942003682</c:v>
                </c:pt>
                <c:pt idx="45">
                  <c:v>7.3567785835026003</c:v>
                </c:pt>
                <c:pt idx="46">
                  <c:v>2.4154845888643419</c:v>
                </c:pt>
                <c:pt idx="47">
                  <c:v>0.65379475083503702</c:v>
                </c:pt>
                <c:pt idx="48">
                  <c:v>4.1011999763952998E-2</c:v>
                </c:pt>
                <c:pt idx="49">
                  <c:v>0.64015374190423402</c:v>
                </c:pt>
                <c:pt idx="50">
                  <c:v>14.898813744678661</c:v>
                </c:pt>
                <c:pt idx="51">
                  <c:v>0.81153014605836604</c:v>
                </c:pt>
                <c:pt idx="52">
                  <c:v>1.132235159136711</c:v>
                </c:pt>
                <c:pt idx="53">
                  <c:v>5.8432672923031754</c:v>
                </c:pt>
                <c:pt idx="54">
                  <c:v>52.423088588302441</c:v>
                </c:pt>
                <c:pt idx="55">
                  <c:v>82.375706275013712</c:v>
                </c:pt>
                <c:pt idx="56">
                  <c:v>0.111385804868553</c:v>
                </c:pt>
                <c:pt idx="57">
                  <c:v>5.4255091539513627</c:v>
                </c:pt>
                <c:pt idx="58">
                  <c:v>1.986472915046096</c:v>
                </c:pt>
                <c:pt idx="59">
                  <c:v>220.38928998882309</c:v>
                </c:pt>
                <c:pt idx="60">
                  <c:v>0.13825199522852699</c:v>
                </c:pt>
                <c:pt idx="61">
                  <c:v>3.7305146281842259</c:v>
                </c:pt>
                <c:pt idx="62">
                  <c:v>0.74356947734617895</c:v>
                </c:pt>
                <c:pt idx="63">
                  <c:v>1.4579805329876201</c:v>
                </c:pt>
                <c:pt idx="64">
                  <c:v>0.44250128509192899</c:v>
                </c:pt>
                <c:pt idx="65">
                  <c:v>1.0490350674943809</c:v>
                </c:pt>
                <c:pt idx="66">
                  <c:v>0.625734111523919</c:v>
                </c:pt>
                <c:pt idx="67">
                  <c:v>1.0661953471542999E-2</c:v>
                </c:pt>
                <c:pt idx="68">
                  <c:v>1.6506082375471951</c:v>
                </c:pt>
                <c:pt idx="69">
                  <c:v>17.245154712894578</c:v>
                </c:pt>
                <c:pt idx="70">
                  <c:v>1.6977021389724769</c:v>
                </c:pt>
                <c:pt idx="71">
                  <c:v>0.45986757484201002</c:v>
                </c:pt>
                <c:pt idx="72">
                  <c:v>5.8057009656327931</c:v>
                </c:pt>
                <c:pt idx="73">
                  <c:v>0.183094785636088</c:v>
                </c:pt>
                <c:pt idx="74">
                  <c:v>1.9548100260574039</c:v>
                </c:pt>
                <c:pt idx="75">
                  <c:v>2.0998187368527579</c:v>
                </c:pt>
                <c:pt idx="76">
                  <c:v>0.21092522788895701</c:v>
                </c:pt>
                <c:pt idx="77">
                  <c:v>1.833275974230651</c:v>
                </c:pt>
                <c:pt idx="78">
                  <c:v>2.8975369441998051</c:v>
                </c:pt>
                <c:pt idx="79">
                  <c:v>12.65000469594708</c:v>
                </c:pt>
                <c:pt idx="80">
                  <c:v>0.72480329242156605</c:v>
                </c:pt>
                <c:pt idx="81">
                  <c:v>4.6662223997851608</c:v>
                </c:pt>
                <c:pt idx="82">
                  <c:v>3.1591753021960112</c:v>
                </c:pt>
                <c:pt idx="83">
                  <c:v>1.470689772283295</c:v>
                </c:pt>
                <c:pt idx="84">
                  <c:v>4.4899044061679776</c:v>
                </c:pt>
                <c:pt idx="85">
                  <c:v>1.0128758377807141</c:v>
                </c:pt>
                <c:pt idx="86">
                  <c:v>1.0294909086489279</c:v>
                </c:pt>
                <c:pt idx="87">
                  <c:v>3.2810993469313949</c:v>
                </c:pt>
                <c:pt idx="88">
                  <c:v>2.8231309452664139</c:v>
                </c:pt>
                <c:pt idx="89">
                  <c:v>0.48390646249459102</c:v>
                </c:pt>
                <c:pt idx="90">
                  <c:v>2.8146508145351219</c:v>
                </c:pt>
                <c:pt idx="91">
                  <c:v>2.829570375916052</c:v>
                </c:pt>
                <c:pt idx="92">
                  <c:v>1.37277522347382</c:v>
                </c:pt>
                <c:pt idx="93">
                  <c:v>0.84735767957964303</c:v>
                </c:pt>
                <c:pt idx="94">
                  <c:v>1.7310110613142491</c:v>
                </c:pt>
                <c:pt idx="95">
                  <c:v>9.6662239796939994E-3</c:v>
                </c:pt>
                <c:pt idx="96">
                  <c:v>5.8675660051874372</c:v>
                </c:pt>
                <c:pt idx="97">
                  <c:v>0.51047072993369302</c:v>
                </c:pt>
                <c:pt idx="98">
                  <c:v>0.83152041253688602</c:v>
                </c:pt>
                <c:pt idx="99">
                  <c:v>1.212441326103761</c:v>
                </c:pt>
                <c:pt idx="100">
                  <c:v>0.224606776388417</c:v>
                </c:pt>
                <c:pt idx="101">
                  <c:v>0.305408676712005</c:v>
                </c:pt>
                <c:pt idx="102">
                  <c:v>75.327833274753132</c:v>
                </c:pt>
                <c:pt idx="103">
                  <c:v>0.71215951758858798</c:v>
                </c:pt>
                <c:pt idx="104">
                  <c:v>1.2700033067865719</c:v>
                </c:pt>
                <c:pt idx="105">
                  <c:v>0.91445922250402201</c:v>
                </c:pt>
                <c:pt idx="106">
                  <c:v>0.90748707244976501</c:v>
                </c:pt>
                <c:pt idx="107">
                  <c:v>1.1169522632262101</c:v>
                </c:pt>
                <c:pt idx="108">
                  <c:v>11.88752667705382</c:v>
                </c:pt>
                <c:pt idx="109">
                  <c:v>2.2375935961785398</c:v>
                </c:pt>
                <c:pt idx="110">
                  <c:v>0.79649944861856803</c:v>
                </c:pt>
                <c:pt idx="111">
                  <c:v>10.2319294070978</c:v>
                </c:pt>
                <c:pt idx="112">
                  <c:v>1.513559992171662</c:v>
                </c:pt>
                <c:pt idx="113">
                  <c:v>0.91187979821621201</c:v>
                </c:pt>
                <c:pt idx="114">
                  <c:v>1.4735679922699161</c:v>
                </c:pt>
                <c:pt idx="115">
                  <c:v>1.811457538573537</c:v>
                </c:pt>
                <c:pt idx="116">
                  <c:v>58.921857173409663</c:v>
                </c:pt>
                <c:pt idx="117">
                  <c:v>8.1661705436836964</c:v>
                </c:pt>
                <c:pt idx="118">
                  <c:v>25.626886154605462</c:v>
                </c:pt>
                <c:pt idx="119">
                  <c:v>7.6939746606230761</c:v>
                </c:pt>
                <c:pt idx="120">
                  <c:v>7.7760786944155917</c:v>
                </c:pt>
                <c:pt idx="121">
                  <c:v>0.61784295093622599</c:v>
                </c:pt>
                <c:pt idx="122">
                  <c:v>2.366138829787066</c:v>
                </c:pt>
                <c:pt idx="123">
                  <c:v>0.28450885003635101</c:v>
                </c:pt>
                <c:pt idx="124">
                  <c:v>0.23219233070713999</c:v>
                </c:pt>
                <c:pt idx="125">
                  <c:v>0.19814350513892401</c:v>
                </c:pt>
                <c:pt idx="126">
                  <c:v>0.83795954365025505</c:v>
                </c:pt>
                <c:pt idx="127">
                  <c:v>1.0736675635904021</c:v>
                </c:pt>
                <c:pt idx="128">
                  <c:v>3.1533774494469009</c:v>
                </c:pt>
                <c:pt idx="129">
                  <c:v>51.012483786239827</c:v>
                </c:pt>
                <c:pt idx="130">
                  <c:v>5.1981227699637786</c:v>
                </c:pt>
                <c:pt idx="131">
                  <c:v>1.266848672052564</c:v>
                </c:pt>
                <c:pt idx="132">
                  <c:v>80.219633472341627</c:v>
                </c:pt>
                <c:pt idx="133">
                  <c:v>99.549161314685151</c:v>
                </c:pt>
                <c:pt idx="134">
                  <c:v>1.0327861149153019</c:v>
                </c:pt>
                <c:pt idx="135">
                  <c:v>0.132047859645572</c:v>
                </c:pt>
                <c:pt idx="136">
                  <c:v>1.469371009862398</c:v>
                </c:pt>
                <c:pt idx="137">
                  <c:v>3.8224980708062479</c:v>
                </c:pt>
                <c:pt idx="138">
                  <c:v>4.5140937619094013</c:v>
                </c:pt>
                <c:pt idx="139">
                  <c:v>2.801613387393981</c:v>
                </c:pt>
                <c:pt idx="140">
                  <c:v>0.32133686878260098</c:v>
                </c:pt>
                <c:pt idx="141">
                  <c:v>0.44664322096985198</c:v>
                </c:pt>
                <c:pt idx="142">
                  <c:v>0.67223870472819003</c:v>
                </c:pt>
                <c:pt idx="143">
                  <c:v>1.919767076818697</c:v>
                </c:pt>
                <c:pt idx="144">
                  <c:v>2.25287065798994</c:v>
                </c:pt>
                <c:pt idx="145">
                  <c:v>2.3353728182816802</c:v>
                </c:pt>
                <c:pt idx="146">
                  <c:v>0.33767821607787601</c:v>
                </c:pt>
                <c:pt idx="147">
                  <c:v>0.95997943001536901</c:v>
                </c:pt>
                <c:pt idx="148">
                  <c:v>0.27437400823368502</c:v>
                </c:pt>
                <c:pt idx="149">
                  <c:v>0.340914147523741</c:v>
                </c:pt>
                <c:pt idx="150">
                  <c:v>1.065889141173253</c:v>
                </c:pt>
                <c:pt idx="151">
                  <c:v>1.0855406260591409</c:v>
                </c:pt>
                <c:pt idx="152">
                  <c:v>8.0347472407027443</c:v>
                </c:pt>
                <c:pt idx="153">
                  <c:v>5.0958782142331662</c:v>
                </c:pt>
                <c:pt idx="154">
                  <c:v>0.25602817801491301</c:v>
                </c:pt>
                <c:pt idx="155">
                  <c:v>7.8242671555992516</c:v>
                </c:pt>
                <c:pt idx="156">
                  <c:v>2.080241938199987</c:v>
                </c:pt>
                <c:pt idx="157">
                  <c:v>2.472560789099103</c:v>
                </c:pt>
                <c:pt idx="158">
                  <c:v>6.5836462827153577</c:v>
                </c:pt>
                <c:pt idx="159">
                  <c:v>63.548360104279801</c:v>
                </c:pt>
                <c:pt idx="160">
                  <c:v>1.0677534691808881</c:v>
                </c:pt>
                <c:pt idx="161">
                  <c:v>1.655137883941264</c:v>
                </c:pt>
                <c:pt idx="162">
                  <c:v>2.291919835374912</c:v>
                </c:pt>
                <c:pt idx="163">
                  <c:v>1.14389909725731</c:v>
                </c:pt>
                <c:pt idx="164">
                  <c:v>56.593000864081951</c:v>
                </c:pt>
                <c:pt idx="165">
                  <c:v>2.7096416256233931</c:v>
                </c:pt>
                <c:pt idx="166">
                  <c:v>1.245964220825664</c:v>
                </c:pt>
                <c:pt idx="167">
                  <c:v>0.37104253922764802</c:v>
                </c:pt>
                <c:pt idx="168">
                  <c:v>1.2279403087528999E-2</c:v>
                </c:pt>
                <c:pt idx="169">
                  <c:v>0.62348047260788897</c:v>
                </c:pt>
                <c:pt idx="170">
                  <c:v>0.188148479895038</c:v>
                </c:pt>
                <c:pt idx="171">
                  <c:v>1.335549191278909</c:v>
                </c:pt>
                <c:pt idx="172">
                  <c:v>0.49675301065190702</c:v>
                </c:pt>
                <c:pt idx="173">
                  <c:v>2.0242117017695258</c:v>
                </c:pt>
                <c:pt idx="174">
                  <c:v>10.780061048480331</c:v>
                </c:pt>
                <c:pt idx="175">
                  <c:v>3.042353790808745</c:v>
                </c:pt>
                <c:pt idx="176">
                  <c:v>0.47983066581927603</c:v>
                </c:pt>
                <c:pt idx="177">
                  <c:v>0.65944486836340599</c:v>
                </c:pt>
                <c:pt idx="178">
                  <c:v>129.82430671528081</c:v>
                </c:pt>
                <c:pt idx="179">
                  <c:v>3.1671033590047699</c:v>
                </c:pt>
                <c:pt idx="180">
                  <c:v>3.0965391220783411</c:v>
                </c:pt>
                <c:pt idx="181">
                  <c:v>1.62475123428548</c:v>
                </c:pt>
                <c:pt idx="182">
                  <c:v>4.3111769910623634</c:v>
                </c:pt>
                <c:pt idx="183">
                  <c:v>5.2156198568030501</c:v>
                </c:pt>
                <c:pt idx="184">
                  <c:v>8.9418684513196229</c:v>
                </c:pt>
                <c:pt idx="185">
                  <c:v>1.2927354514162059</c:v>
                </c:pt>
                <c:pt idx="186">
                  <c:v>10.864830015148581</c:v>
                </c:pt>
                <c:pt idx="187">
                  <c:v>0.26382483683320201</c:v>
                </c:pt>
                <c:pt idx="188">
                  <c:v>1.1593184105624379</c:v>
                </c:pt>
                <c:pt idx="189">
                  <c:v>90.992562702100827</c:v>
                </c:pt>
                <c:pt idx="190">
                  <c:v>24.325628566312819</c:v>
                </c:pt>
                <c:pt idx="191">
                  <c:v>1.150442103868456</c:v>
                </c:pt>
                <c:pt idx="192">
                  <c:v>4.86161865042624</c:v>
                </c:pt>
                <c:pt idx="193">
                  <c:v>0.76254508658443698</c:v>
                </c:pt>
                <c:pt idx="194">
                  <c:v>0.98236097774847797</c:v>
                </c:pt>
                <c:pt idx="195">
                  <c:v>2.7943874070586912</c:v>
                </c:pt>
                <c:pt idx="196">
                  <c:v>3.7544850157577092</c:v>
                </c:pt>
                <c:pt idx="197">
                  <c:v>1.9172490970418521</c:v>
                </c:pt>
                <c:pt idx="198">
                  <c:v>3.1310280214165149</c:v>
                </c:pt>
                <c:pt idx="199">
                  <c:v>0.68128780318362303</c:v>
                </c:pt>
                <c:pt idx="200">
                  <c:v>4.2360337512351999E-2</c:v>
                </c:pt>
                <c:pt idx="201">
                  <c:v>1.9711021381951079</c:v>
                </c:pt>
                <c:pt idx="202">
                  <c:v>4.251725236126279</c:v>
                </c:pt>
                <c:pt idx="203">
                  <c:v>5.7808586335899995E-4</c:v>
                </c:pt>
                <c:pt idx="204">
                  <c:v>120.75812528265411</c:v>
                </c:pt>
                <c:pt idx="205">
                  <c:v>2.911699652635293</c:v>
                </c:pt>
                <c:pt idx="206">
                  <c:v>1.717089355446304</c:v>
                </c:pt>
                <c:pt idx="207">
                  <c:v>144.0230792194937</c:v>
                </c:pt>
                <c:pt idx="208">
                  <c:v>0.77058771933947301</c:v>
                </c:pt>
                <c:pt idx="209">
                  <c:v>5.6009719270227496</c:v>
                </c:pt>
                <c:pt idx="210">
                  <c:v>0.16325628599408701</c:v>
                </c:pt>
                <c:pt idx="211">
                  <c:v>39.053793840929039</c:v>
                </c:pt>
                <c:pt idx="212">
                  <c:v>1.9311014158082631</c:v>
                </c:pt>
                <c:pt idx="213">
                  <c:v>0.73383458504978005</c:v>
                </c:pt>
                <c:pt idx="214">
                  <c:v>1.6722752668262091</c:v>
                </c:pt>
                <c:pt idx="215">
                  <c:v>2.801930745814659</c:v>
                </c:pt>
                <c:pt idx="216">
                  <c:v>12.7459755210142</c:v>
                </c:pt>
                <c:pt idx="217">
                  <c:v>1.039349839794586</c:v>
                </c:pt>
                <c:pt idx="218">
                  <c:v>2.476252608594455</c:v>
                </c:pt>
                <c:pt idx="219">
                  <c:v>24.9109487110942</c:v>
                </c:pt>
                <c:pt idx="220">
                  <c:v>9.1657803410042996E-2</c:v>
                </c:pt>
                <c:pt idx="221">
                  <c:v>2.914009883509348</c:v>
                </c:pt>
                <c:pt idx="222">
                  <c:v>0.63026304743153605</c:v>
                </c:pt>
                <c:pt idx="223">
                  <c:v>4.2773469462953004</c:v>
                </c:pt>
                <c:pt idx="224">
                  <c:v>6.0076380285462356</c:v>
                </c:pt>
                <c:pt idx="225">
                  <c:v>4.7528684117570723</c:v>
                </c:pt>
                <c:pt idx="226">
                  <c:v>31.695275944512058</c:v>
                </c:pt>
                <c:pt idx="227">
                  <c:v>3.8262000954705</c:v>
                </c:pt>
                <c:pt idx="228">
                  <c:v>4.9635095132348566</c:v>
                </c:pt>
                <c:pt idx="229">
                  <c:v>1.8486310432266551</c:v>
                </c:pt>
                <c:pt idx="230">
                  <c:v>0.49144337728805398</c:v>
                </c:pt>
                <c:pt idx="231">
                  <c:v>2.7021317684920652</c:v>
                </c:pt>
                <c:pt idx="232">
                  <c:v>1.6715972884072949</c:v>
                </c:pt>
                <c:pt idx="233">
                  <c:v>0.268134398912584</c:v>
                </c:pt>
                <c:pt idx="234">
                  <c:v>0.69465110498953797</c:v>
                </c:pt>
                <c:pt idx="235">
                  <c:v>0.39829036610610502</c:v>
                </c:pt>
                <c:pt idx="236">
                  <c:v>1.184635862803749</c:v>
                </c:pt>
                <c:pt idx="237">
                  <c:v>1.3972923338338019</c:v>
                </c:pt>
                <c:pt idx="238">
                  <c:v>0.35919026895341899</c:v>
                </c:pt>
                <c:pt idx="239">
                  <c:v>6.4646550708681358</c:v>
                </c:pt>
                <c:pt idx="240">
                  <c:v>3.1206608937586719</c:v>
                </c:pt>
                <c:pt idx="241">
                  <c:v>0.28946940185111403</c:v>
                </c:pt>
                <c:pt idx="242">
                  <c:v>0.91185201165394303</c:v>
                </c:pt>
                <c:pt idx="243">
                  <c:v>6.6358708717083914</c:v>
                </c:pt>
                <c:pt idx="244">
                  <c:v>5.2663866607640628</c:v>
                </c:pt>
                <c:pt idx="245">
                  <c:v>2.2308284442494801</c:v>
                </c:pt>
                <c:pt idx="246">
                  <c:v>0.58961568995980695</c:v>
                </c:pt>
                <c:pt idx="247">
                  <c:v>58.876529411768352</c:v>
                </c:pt>
                <c:pt idx="248">
                  <c:v>3.151564746949064</c:v>
                </c:pt>
                <c:pt idx="249">
                  <c:v>8.9329535719375006E-2</c:v>
                </c:pt>
                <c:pt idx="250">
                  <c:v>2.7605753915510038</c:v>
                </c:pt>
                <c:pt idx="251">
                  <c:v>55.684511783759781</c:v>
                </c:pt>
                <c:pt idx="252">
                  <c:v>30.72655578288996</c:v>
                </c:pt>
                <c:pt idx="253">
                  <c:v>137.04151939255311</c:v>
                </c:pt>
                <c:pt idx="254">
                  <c:v>2.6335764604120571</c:v>
                </c:pt>
                <c:pt idx="255">
                  <c:v>3.597604257307887</c:v>
                </c:pt>
                <c:pt idx="256">
                  <c:v>78.673298115891512</c:v>
                </c:pt>
                <c:pt idx="257">
                  <c:v>2.3127682626116779</c:v>
                </c:pt>
                <c:pt idx="258">
                  <c:v>10.22239377308081</c:v>
                </c:pt>
                <c:pt idx="259">
                  <c:v>9.1779451693126998E-2</c:v>
                </c:pt>
                <c:pt idx="260">
                  <c:v>7.2720147175511798</c:v>
                </c:pt>
                <c:pt idx="261">
                  <c:v>2.2038790551006868</c:v>
                </c:pt>
                <c:pt idx="262">
                  <c:v>2.8447863393960371</c:v>
                </c:pt>
                <c:pt idx="263">
                  <c:v>3.127381671738199</c:v>
                </c:pt>
                <c:pt idx="264">
                  <c:v>85.994577071758997</c:v>
                </c:pt>
                <c:pt idx="265">
                  <c:v>4.5700184120083032</c:v>
                </c:pt>
                <c:pt idx="266">
                  <c:v>51.394270442609169</c:v>
                </c:pt>
                <c:pt idx="267">
                  <c:v>1.878728024629434</c:v>
                </c:pt>
                <c:pt idx="268">
                  <c:v>4.8105627986861039</c:v>
                </c:pt>
                <c:pt idx="269">
                  <c:v>0.26824687842329697</c:v>
                </c:pt>
                <c:pt idx="270">
                  <c:v>1.0385757574473331</c:v>
                </c:pt>
                <c:pt idx="271">
                  <c:v>6.0650493488809999E-3</c:v>
                </c:pt>
                <c:pt idx="272">
                  <c:v>1.74562025183433</c:v>
                </c:pt>
                <c:pt idx="273">
                  <c:v>4.6453811096803728</c:v>
                </c:pt>
                <c:pt idx="274">
                  <c:v>0.546974576111943</c:v>
                </c:pt>
                <c:pt idx="275">
                  <c:v>1.262541697300879</c:v>
                </c:pt>
                <c:pt idx="276">
                  <c:v>3.3406648452265348</c:v>
                </c:pt>
                <c:pt idx="277">
                  <c:v>1.5192712928294709</c:v>
                </c:pt>
                <c:pt idx="278">
                  <c:v>10.27706262092528</c:v>
                </c:pt>
                <c:pt idx="279">
                  <c:v>1.0006031931060191</c:v>
                </c:pt>
                <c:pt idx="280">
                  <c:v>1.822533375927764</c:v>
                </c:pt>
                <c:pt idx="281">
                  <c:v>1.668048576416671</c:v>
                </c:pt>
                <c:pt idx="282">
                  <c:v>0.82865490400630004</c:v>
                </c:pt>
                <c:pt idx="283">
                  <c:v>5.4350370738779699</c:v>
                </c:pt>
                <c:pt idx="284">
                  <c:v>4.8189745307467833</c:v>
                </c:pt>
                <c:pt idx="285">
                  <c:v>7.9046857748319002E-2</c:v>
                </c:pt>
                <c:pt idx="286">
                  <c:v>1.403918186150579</c:v>
                </c:pt>
                <c:pt idx="287">
                  <c:v>5.9129583889352286</c:v>
                </c:pt>
                <c:pt idx="288">
                  <c:v>117.5130828916478</c:v>
                </c:pt>
                <c:pt idx="289">
                  <c:v>67.688800467744457</c:v>
                </c:pt>
                <c:pt idx="290">
                  <c:v>4.1194410680667941</c:v>
                </c:pt>
                <c:pt idx="291">
                  <c:v>0.42419843840537902</c:v>
                </c:pt>
                <c:pt idx="292">
                  <c:v>102.2879519113517</c:v>
                </c:pt>
                <c:pt idx="293">
                  <c:v>0.435136678388788</c:v>
                </c:pt>
                <c:pt idx="294">
                  <c:v>4.5130201850409808</c:v>
                </c:pt>
                <c:pt idx="295">
                  <c:v>1.568061376176545</c:v>
                </c:pt>
                <c:pt idx="296">
                  <c:v>2.2376833163909451</c:v>
                </c:pt>
                <c:pt idx="297">
                  <c:v>2.1059884783885972</c:v>
                </c:pt>
                <c:pt idx="298">
                  <c:v>0.97364925319171802</c:v>
                </c:pt>
                <c:pt idx="299">
                  <c:v>2.2760580760931561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9-4DD9-AC2B-7670F2CE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700000"/>
        <c:axId val="1638158848"/>
      </c:lineChart>
      <c:catAx>
        <c:axId val="11977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8158848"/>
        <c:crosses val="autoZero"/>
        <c:auto val="1"/>
        <c:lblAlgn val="ctr"/>
        <c:lblOffset val="100"/>
        <c:noMultiLvlLbl val="0"/>
      </c:catAx>
      <c:valAx>
        <c:axId val="16381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77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Автокореляционный анализ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Лист2!$AD$1:$AM$1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Лист2!$AD$2:$AM$2</c:f>
              <c:numCache>
                <c:formatCode>0.0000</c:formatCode>
                <c:ptCount val="10"/>
                <c:pt idx="0">
                  <c:v>4.4795477769575633E-2</c:v>
                </c:pt>
                <c:pt idx="1">
                  <c:v>-2.6511802315611947E-2</c:v>
                </c:pt>
                <c:pt idx="2">
                  <c:v>8.2055310723911631E-2</c:v>
                </c:pt>
                <c:pt idx="3">
                  <c:v>0.13916811855557087</c:v>
                </c:pt>
                <c:pt idx="4">
                  <c:v>1.1409786630470499E-2</c:v>
                </c:pt>
                <c:pt idx="5">
                  <c:v>-5.1629124240805721E-2</c:v>
                </c:pt>
                <c:pt idx="6">
                  <c:v>-8.4476838123919776E-2</c:v>
                </c:pt>
                <c:pt idx="7">
                  <c:v>-6.4710709760269089E-2</c:v>
                </c:pt>
                <c:pt idx="8">
                  <c:v>-5.4542777981611029E-2</c:v>
                </c:pt>
                <c:pt idx="9">
                  <c:v>-6.0353986030105132E-2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1-4496-9762-1688A6229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035136"/>
        <c:axId val="1930034176"/>
      </c:lineChart>
      <c:catAx>
        <c:axId val="193003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Смещение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034176"/>
        <c:crosses val="autoZero"/>
        <c:auto val="1"/>
        <c:lblAlgn val="ctr"/>
        <c:lblOffset val="100"/>
        <c:noMultiLvlLbl val="0"/>
      </c:catAx>
      <c:valAx>
        <c:axId val="19300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Коэфицент автокорелляции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0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Гистограмма распределения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Гистограмма распределения частот</a:t>
          </a:r>
        </a:p>
      </cx:txPr>
    </cx:title>
    <cx:plotArea>
      <cx:plotAreaRegion>
        <cx:series layoutId="clusteredColumn" uniqueId="{CB9BD537-F6EA-4AEF-A8E8-0ADCABA5802C}"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Интервалы значений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Интервалы значений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Частота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Частота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Гистограмма распределения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Гистограмма распределения частот</a:t>
          </a:r>
        </a:p>
      </cx:txPr>
    </cx:title>
    <cx:plotArea>
      <cx:plotAreaRegion>
        <cx:series layoutId="clusteredColumn" uniqueId="{4E51FB9B-6BB5-44B9-9D59-89C9D22AB65D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Интервалы значений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Интервалы значений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Частота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Частота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11430</xdr:rowOff>
    </xdr:from>
    <xdr:to>
      <xdr:col>15</xdr:col>
      <xdr:colOff>552450</xdr:colOff>
      <xdr:row>15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28E431-31A9-6CE9-CAAE-751693979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543294</xdr:colOff>
      <xdr:row>0</xdr:row>
      <xdr:rowOff>0</xdr:rowOff>
    </xdr:from>
    <xdr:to>
      <xdr:col>26</xdr:col>
      <xdr:colOff>535131</xdr:colOff>
      <xdr:row>29</xdr:row>
      <xdr:rowOff>150767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F1185635-6673-63FD-842C-880C8FFBE2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0694" y="0"/>
              <a:ext cx="7395937" cy="7123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40</xdr:col>
      <xdr:colOff>13854</xdr:colOff>
      <xdr:row>0</xdr:row>
      <xdr:rowOff>20780</xdr:rowOff>
    </xdr:from>
    <xdr:to>
      <xdr:col>51</xdr:col>
      <xdr:colOff>110836</xdr:colOff>
      <xdr:row>24</xdr:row>
      <xdr:rowOff>221673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15CCC4-C2C6-F2EB-A251-54EA94FEE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0</xdr:row>
      <xdr:rowOff>0</xdr:rowOff>
    </xdr:from>
    <xdr:to>
      <xdr:col>16</xdr:col>
      <xdr:colOff>0</xdr:colOff>
      <xdr:row>14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6196F8-856B-52E9-221D-5B1920517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590550</xdr:colOff>
      <xdr:row>0</xdr:row>
      <xdr:rowOff>19050</xdr:rowOff>
    </xdr:from>
    <xdr:to>
      <xdr:col>26</xdr:col>
      <xdr:colOff>476250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DFD2E9BA-4CB2-531E-8283-EA1547A01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44650" y="19050"/>
              <a:ext cx="6616700" cy="573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39</xdr:col>
      <xdr:colOff>523874</xdr:colOff>
      <xdr:row>0</xdr:row>
      <xdr:rowOff>0</xdr:rowOff>
    </xdr:from>
    <xdr:to>
      <xdr:col>51</xdr:col>
      <xdr:colOff>95249</xdr:colOff>
      <xdr:row>25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F62B74C-EA32-FC82-AD37-12BE24F9B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E95B-636C-4962-AEF9-314D884CCAD4}">
  <dimension ref="A1:AM311"/>
  <sheetViews>
    <sheetView zoomScale="69" zoomScaleNormal="70" workbookViewId="0">
      <selection activeCell="AP36" sqref="AP36"/>
    </sheetView>
  </sheetViews>
  <sheetFormatPr baseColWidth="10" defaultColWidth="8.83203125" defaultRowHeight="15" x14ac:dyDescent="0.2"/>
  <cols>
    <col min="1" max="1" width="9" bestFit="1" customWidth="1"/>
    <col min="3" max="3" width="21.5" bestFit="1" customWidth="1"/>
    <col min="5" max="9" width="14" bestFit="1" customWidth="1"/>
    <col min="10" max="10" width="14.6640625" bestFit="1" customWidth="1"/>
    <col min="30" max="39" width="9" bestFit="1" customWidth="1"/>
  </cols>
  <sheetData>
    <row r="1" spans="1:39" x14ac:dyDescent="0.2">
      <c r="A1" s="24">
        <v>59.860999999999997</v>
      </c>
      <c r="R1" s="1"/>
      <c r="S1" s="1"/>
      <c r="AC1" s="11" t="s">
        <v>12</v>
      </c>
      <c r="AD1" s="12">
        <v>1</v>
      </c>
      <c r="AE1" s="12">
        <v>2</v>
      </c>
      <c r="AF1" s="12">
        <v>3</v>
      </c>
      <c r="AG1" s="12">
        <v>4</v>
      </c>
      <c r="AH1" s="12">
        <v>5</v>
      </c>
      <c r="AI1" s="12">
        <v>6</v>
      </c>
      <c r="AJ1" s="12">
        <v>7</v>
      </c>
      <c r="AK1" s="12">
        <v>8</v>
      </c>
      <c r="AL1" s="12">
        <v>9</v>
      </c>
      <c r="AM1" s="12">
        <v>10</v>
      </c>
    </row>
    <row r="2" spans="1:39" x14ac:dyDescent="0.2">
      <c r="A2" s="24">
        <v>9.3529999999999998</v>
      </c>
      <c r="S2" s="1"/>
      <c r="AC2" s="13" t="s">
        <v>13</v>
      </c>
      <c r="AD2" s="14">
        <f>COVAR($A1:$A300,AD4:AD303)/SQRT(VAR($A1:$A300)*VAR(AD4:AD303))</f>
        <v>6.8572608709810759E-2</v>
      </c>
      <c r="AE2" s="14">
        <f t="shared" ref="AE2:AM2" si="0">COVAR($A1:$A300,AE4:AE303)/SQRT(VAR($A1:$A300)*VAR(AE4:AE303))</f>
        <v>-6.6529944699233595E-2</v>
      </c>
      <c r="AF2" s="14">
        <f t="shared" si="0"/>
        <v>-2.5656613350922383E-2</v>
      </c>
      <c r="AG2" s="14">
        <f t="shared" si="0"/>
        <v>2.0515819536578491E-3</v>
      </c>
      <c r="AH2" s="14">
        <f t="shared" si="0"/>
        <v>-3.2502505756904346E-2</v>
      </c>
      <c r="AI2" s="14">
        <f t="shared" si="0"/>
        <v>5.6598926212404713E-2</v>
      </c>
      <c r="AJ2" s="14">
        <f t="shared" si="0"/>
        <v>5.5466316620257965E-2</v>
      </c>
      <c r="AK2" s="14">
        <f t="shared" si="0"/>
        <v>-7.4417428753105253E-2</v>
      </c>
      <c r="AL2" s="14">
        <f>COVAR($A1:$A300,AL4:AL303)/SQRT(VAR($A1:$A300)*VAR(AL4:AL303))</f>
        <v>2.6390244223896943E-2</v>
      </c>
      <c r="AM2" s="14">
        <f t="shared" si="0"/>
        <v>2.3421995929258404E-2</v>
      </c>
    </row>
    <row r="3" spans="1:39" x14ac:dyDescent="0.2">
      <c r="A3" s="24">
        <v>4.7130000000000001</v>
      </c>
      <c r="S3" s="1"/>
    </row>
    <row r="4" spans="1:39" x14ac:dyDescent="0.2">
      <c r="A4" s="24">
        <v>4.6120000000000001</v>
      </c>
      <c r="S4" s="1"/>
      <c r="AD4" s="24">
        <v>9.3529999999999998</v>
      </c>
      <c r="AE4" s="24">
        <v>4.7130000000000001</v>
      </c>
      <c r="AF4" s="24">
        <v>4.6120000000000001</v>
      </c>
      <c r="AG4" s="24">
        <v>6.48</v>
      </c>
      <c r="AH4" s="24">
        <v>7.944</v>
      </c>
      <c r="AI4" s="24">
        <v>5.2809999999999997</v>
      </c>
      <c r="AJ4" s="24">
        <v>5.3449999999999998</v>
      </c>
      <c r="AK4" s="24">
        <v>9.2080000000000002</v>
      </c>
      <c r="AL4" s="24">
        <v>8.8230000000000004</v>
      </c>
      <c r="AM4" s="24">
        <v>4.7089999999999996</v>
      </c>
    </row>
    <row r="5" spans="1:39" x14ac:dyDescent="0.2">
      <c r="A5" s="24">
        <v>6.48</v>
      </c>
      <c r="S5" s="1"/>
      <c r="AD5" s="24">
        <v>4.7130000000000001</v>
      </c>
      <c r="AE5" s="24">
        <v>4.6120000000000001</v>
      </c>
      <c r="AF5" s="24">
        <v>6.48</v>
      </c>
      <c r="AG5" s="24">
        <v>7.944</v>
      </c>
      <c r="AH5" s="24">
        <v>5.2809999999999997</v>
      </c>
      <c r="AI5" s="24">
        <v>5.3449999999999998</v>
      </c>
      <c r="AJ5" s="24">
        <v>9.2080000000000002</v>
      </c>
      <c r="AK5" s="24">
        <v>8.8230000000000004</v>
      </c>
      <c r="AL5" s="24">
        <v>4.7089999999999996</v>
      </c>
      <c r="AM5" s="24">
        <v>4.7229999999999999</v>
      </c>
    </row>
    <row r="6" spans="1:39" x14ac:dyDescent="0.2">
      <c r="A6" s="24">
        <v>7.944</v>
      </c>
      <c r="S6" s="1"/>
      <c r="AD6" s="24">
        <v>4.6120000000000001</v>
      </c>
      <c r="AE6" s="24">
        <v>6.48</v>
      </c>
      <c r="AF6" s="24">
        <v>7.944</v>
      </c>
      <c r="AG6" s="24">
        <v>5.2809999999999997</v>
      </c>
      <c r="AH6" s="24">
        <v>5.3449999999999998</v>
      </c>
      <c r="AI6" s="24">
        <v>9.2080000000000002</v>
      </c>
      <c r="AJ6" s="24">
        <v>8.8230000000000004</v>
      </c>
      <c r="AK6" s="24">
        <v>4.7089999999999996</v>
      </c>
      <c r="AL6" s="24">
        <v>4.7229999999999999</v>
      </c>
      <c r="AM6" s="24">
        <v>6.556</v>
      </c>
    </row>
    <row r="7" spans="1:39" x14ac:dyDescent="0.2">
      <c r="A7" s="24">
        <v>5.2809999999999997</v>
      </c>
      <c r="S7" s="1"/>
      <c r="AD7" s="24">
        <v>6.48</v>
      </c>
      <c r="AE7" s="24">
        <v>7.944</v>
      </c>
      <c r="AF7" s="24">
        <v>5.2809999999999997</v>
      </c>
      <c r="AG7" s="24">
        <v>5.3449999999999998</v>
      </c>
      <c r="AH7" s="24">
        <v>9.2080000000000002</v>
      </c>
      <c r="AI7" s="24">
        <v>8.8230000000000004</v>
      </c>
      <c r="AJ7" s="24">
        <v>4.7089999999999996</v>
      </c>
      <c r="AK7" s="24">
        <v>4.7229999999999999</v>
      </c>
      <c r="AL7" s="24">
        <v>6.556</v>
      </c>
      <c r="AM7" s="24">
        <v>58.414000000000001</v>
      </c>
    </row>
    <row r="8" spans="1:39" x14ac:dyDescent="0.2">
      <c r="A8" s="24">
        <v>5.3449999999999998</v>
      </c>
      <c r="S8" s="1"/>
      <c r="AD8" s="24">
        <v>7.944</v>
      </c>
      <c r="AE8" s="24">
        <v>5.2809999999999997</v>
      </c>
      <c r="AF8" s="24">
        <v>5.3449999999999998</v>
      </c>
      <c r="AG8" s="24">
        <v>9.2080000000000002</v>
      </c>
      <c r="AH8" s="24">
        <v>8.8230000000000004</v>
      </c>
      <c r="AI8" s="24">
        <v>4.7089999999999996</v>
      </c>
      <c r="AJ8" s="24">
        <v>4.7229999999999999</v>
      </c>
      <c r="AK8" s="24">
        <v>6.556</v>
      </c>
      <c r="AL8" s="24">
        <v>58.414000000000001</v>
      </c>
      <c r="AM8" s="24">
        <v>5.8369999999999997</v>
      </c>
    </row>
    <row r="9" spans="1:39" x14ac:dyDescent="0.2">
      <c r="A9" s="24">
        <v>9.2080000000000002</v>
      </c>
      <c r="S9" s="1"/>
      <c r="AD9" s="24">
        <v>5.2809999999999997</v>
      </c>
      <c r="AE9" s="24">
        <v>5.3449999999999998</v>
      </c>
      <c r="AF9" s="24">
        <v>9.2080000000000002</v>
      </c>
      <c r="AG9" s="24">
        <v>8.8230000000000004</v>
      </c>
      <c r="AH9" s="24">
        <v>4.7089999999999996</v>
      </c>
      <c r="AI9" s="24">
        <v>4.7229999999999999</v>
      </c>
      <c r="AJ9" s="24">
        <v>6.556</v>
      </c>
      <c r="AK9" s="24">
        <v>58.414000000000001</v>
      </c>
      <c r="AL9" s="24">
        <v>5.8369999999999997</v>
      </c>
      <c r="AM9" s="24">
        <v>25.02</v>
      </c>
    </row>
    <row r="10" spans="1:39" x14ac:dyDescent="0.2">
      <c r="A10" s="24">
        <v>8.8230000000000004</v>
      </c>
      <c r="S10" s="1"/>
      <c r="AD10" s="24">
        <v>5.3449999999999998</v>
      </c>
      <c r="AE10" s="24">
        <v>9.2080000000000002</v>
      </c>
      <c r="AF10" s="24">
        <v>8.8230000000000004</v>
      </c>
      <c r="AG10" s="24">
        <v>4.7089999999999996</v>
      </c>
      <c r="AH10" s="24">
        <v>4.7229999999999999</v>
      </c>
      <c r="AI10" s="24">
        <v>6.556</v>
      </c>
      <c r="AJ10" s="24">
        <v>58.414000000000001</v>
      </c>
      <c r="AK10" s="24">
        <v>5.8369999999999997</v>
      </c>
      <c r="AL10" s="24">
        <v>25.02</v>
      </c>
      <c r="AM10" s="24">
        <v>5.1109999999999998</v>
      </c>
    </row>
    <row r="11" spans="1:39" x14ac:dyDescent="0.2">
      <c r="A11" s="24">
        <v>4.7089999999999996</v>
      </c>
      <c r="S11" s="1"/>
      <c r="AD11" s="24">
        <v>9.2080000000000002</v>
      </c>
      <c r="AE11" s="24">
        <v>8.8230000000000004</v>
      </c>
      <c r="AF11" s="24">
        <v>4.7089999999999996</v>
      </c>
      <c r="AG11" s="24">
        <v>4.7229999999999999</v>
      </c>
      <c r="AH11" s="24">
        <v>6.556</v>
      </c>
      <c r="AI11" s="24">
        <v>58.414000000000001</v>
      </c>
      <c r="AJ11" s="24">
        <v>5.8369999999999997</v>
      </c>
      <c r="AK11" s="24">
        <v>25.02</v>
      </c>
      <c r="AL11" s="24">
        <v>5.1109999999999998</v>
      </c>
      <c r="AM11" s="24">
        <v>7.8949999999999996</v>
      </c>
    </row>
    <row r="12" spans="1:39" x14ac:dyDescent="0.2">
      <c r="A12" s="24">
        <v>4.7229999999999999</v>
      </c>
      <c r="S12" s="1"/>
      <c r="AD12" s="24">
        <v>8.8230000000000004</v>
      </c>
      <c r="AE12" s="24">
        <v>4.7089999999999996</v>
      </c>
      <c r="AF12" s="24">
        <v>4.7229999999999999</v>
      </c>
      <c r="AG12" s="24">
        <v>6.556</v>
      </c>
      <c r="AH12" s="24">
        <v>58.414000000000001</v>
      </c>
      <c r="AI12" s="24">
        <v>5.8369999999999997</v>
      </c>
      <c r="AJ12" s="24">
        <v>25.02</v>
      </c>
      <c r="AK12" s="24">
        <v>5.1109999999999998</v>
      </c>
      <c r="AL12" s="24">
        <v>7.8949999999999996</v>
      </c>
      <c r="AM12" s="24">
        <v>7.1989999999999998</v>
      </c>
    </row>
    <row r="13" spans="1:39" x14ac:dyDescent="0.2">
      <c r="A13" s="24">
        <v>6.556</v>
      </c>
      <c r="S13" s="1"/>
      <c r="AD13" s="24">
        <v>4.7089999999999996</v>
      </c>
      <c r="AE13" s="24">
        <v>4.7229999999999999</v>
      </c>
      <c r="AF13" s="24">
        <v>6.556</v>
      </c>
      <c r="AG13" s="24">
        <v>58.414000000000001</v>
      </c>
      <c r="AH13" s="24">
        <v>5.8369999999999997</v>
      </c>
      <c r="AI13" s="24">
        <v>25.02</v>
      </c>
      <c r="AJ13" s="24">
        <v>5.1109999999999998</v>
      </c>
      <c r="AK13" s="24">
        <v>7.8949999999999996</v>
      </c>
      <c r="AL13" s="24">
        <v>7.1989999999999998</v>
      </c>
      <c r="AM13" s="24">
        <v>4.6130000000000004</v>
      </c>
    </row>
    <row r="14" spans="1:39" x14ac:dyDescent="0.2">
      <c r="A14" s="24">
        <v>58.414000000000001</v>
      </c>
      <c r="S14" s="1"/>
      <c r="AD14" s="24">
        <v>4.7229999999999999</v>
      </c>
      <c r="AE14" s="24">
        <v>6.556</v>
      </c>
      <c r="AF14" s="24">
        <v>58.414000000000001</v>
      </c>
      <c r="AG14" s="24">
        <v>5.8369999999999997</v>
      </c>
      <c r="AH14" s="24">
        <v>25.02</v>
      </c>
      <c r="AI14" s="24">
        <v>5.1109999999999998</v>
      </c>
      <c r="AJ14" s="24">
        <v>7.8949999999999996</v>
      </c>
      <c r="AK14" s="24">
        <v>7.1989999999999998</v>
      </c>
      <c r="AL14" s="24">
        <v>4.6130000000000004</v>
      </c>
      <c r="AM14" s="24">
        <v>4.6050000000000004</v>
      </c>
    </row>
    <row r="15" spans="1:39" x14ac:dyDescent="0.2">
      <c r="A15" s="24">
        <v>5.8369999999999997</v>
      </c>
      <c r="S15" s="1"/>
      <c r="AD15" s="24">
        <v>6.556</v>
      </c>
      <c r="AE15" s="24">
        <v>58.414000000000001</v>
      </c>
      <c r="AF15" s="24">
        <v>5.8369999999999997</v>
      </c>
      <c r="AG15" s="24">
        <v>25.02</v>
      </c>
      <c r="AH15" s="24">
        <v>5.1109999999999998</v>
      </c>
      <c r="AI15" s="24">
        <v>7.8949999999999996</v>
      </c>
      <c r="AJ15" s="24">
        <v>7.1989999999999998</v>
      </c>
      <c r="AK15" s="24">
        <v>4.6130000000000004</v>
      </c>
      <c r="AL15" s="24">
        <v>4.6050000000000004</v>
      </c>
      <c r="AM15" s="24">
        <v>9.218</v>
      </c>
    </row>
    <row r="16" spans="1:39" x14ac:dyDescent="0.2">
      <c r="A16" s="24">
        <v>25.02</v>
      </c>
      <c r="S16" s="1"/>
      <c r="AD16" s="24">
        <v>58.414000000000001</v>
      </c>
      <c r="AE16" s="24">
        <v>5.8369999999999997</v>
      </c>
      <c r="AF16" s="24">
        <v>25.02</v>
      </c>
      <c r="AG16" s="24">
        <v>5.1109999999999998</v>
      </c>
      <c r="AH16" s="24">
        <v>7.8949999999999996</v>
      </c>
      <c r="AI16" s="24">
        <v>7.1989999999999998</v>
      </c>
      <c r="AJ16" s="24">
        <v>4.6130000000000004</v>
      </c>
      <c r="AK16" s="24">
        <v>4.6050000000000004</v>
      </c>
      <c r="AL16" s="24">
        <v>9.218</v>
      </c>
      <c r="AM16" s="24">
        <v>8.3559999999999999</v>
      </c>
    </row>
    <row r="17" spans="1:39" x14ac:dyDescent="0.2">
      <c r="A17" s="24">
        <v>5.1109999999999998</v>
      </c>
      <c r="C17" s="34"/>
      <c r="D17" s="34"/>
      <c r="E17" s="34"/>
      <c r="F17" s="34"/>
      <c r="G17" s="34"/>
      <c r="H17" s="34"/>
      <c r="S17" s="1"/>
      <c r="AD17" s="24">
        <v>5.8369999999999997</v>
      </c>
      <c r="AE17" s="24">
        <v>25.02</v>
      </c>
      <c r="AF17" s="24">
        <v>5.1109999999999998</v>
      </c>
      <c r="AG17" s="24">
        <v>7.8949999999999996</v>
      </c>
      <c r="AH17" s="24">
        <v>7.1989999999999998</v>
      </c>
      <c r="AI17" s="24">
        <v>4.6130000000000004</v>
      </c>
      <c r="AJ17" s="24">
        <v>4.6050000000000004</v>
      </c>
      <c r="AK17" s="24">
        <v>9.218</v>
      </c>
      <c r="AL17" s="24">
        <v>8.3559999999999999</v>
      </c>
      <c r="AM17" s="24">
        <v>7.548</v>
      </c>
    </row>
    <row r="18" spans="1:39" x14ac:dyDescent="0.2">
      <c r="A18" s="24">
        <v>7.8949999999999996</v>
      </c>
      <c r="S18" s="1"/>
      <c r="AD18" s="24">
        <v>25.02</v>
      </c>
      <c r="AE18" s="24">
        <v>5.1109999999999998</v>
      </c>
      <c r="AF18" s="24">
        <v>7.8949999999999996</v>
      </c>
      <c r="AG18" s="24">
        <v>7.1989999999999998</v>
      </c>
      <c r="AH18" s="24">
        <v>4.6130000000000004</v>
      </c>
      <c r="AI18" s="24">
        <v>4.6050000000000004</v>
      </c>
      <c r="AJ18" s="24">
        <v>9.218</v>
      </c>
      <c r="AK18" s="24">
        <v>8.3559999999999999</v>
      </c>
      <c r="AL18" s="24">
        <v>7.548</v>
      </c>
      <c r="AM18" s="24">
        <v>4.9269999999999996</v>
      </c>
    </row>
    <row r="19" spans="1:39" ht="16" x14ac:dyDescent="0.2">
      <c r="A19" s="24">
        <v>7.1989999999999998</v>
      </c>
      <c r="C19" s="35"/>
      <c r="D19" s="36"/>
      <c r="E19" s="36"/>
      <c r="F19" s="36"/>
      <c r="G19" s="36"/>
      <c r="H19" s="36"/>
      <c r="I19" s="36"/>
      <c r="J19" s="36"/>
      <c r="S19" s="1"/>
      <c r="AD19" s="24">
        <v>5.1109999999999998</v>
      </c>
      <c r="AE19" s="24">
        <v>7.8949999999999996</v>
      </c>
      <c r="AF19" s="24">
        <v>7.1989999999999998</v>
      </c>
      <c r="AG19" s="24">
        <v>4.6130000000000004</v>
      </c>
      <c r="AH19" s="24">
        <v>4.6050000000000004</v>
      </c>
      <c r="AI19" s="24">
        <v>9.218</v>
      </c>
      <c r="AJ19" s="24">
        <v>8.3559999999999999</v>
      </c>
      <c r="AK19" s="24">
        <v>7.548</v>
      </c>
      <c r="AL19" s="24">
        <v>4.9269999999999996</v>
      </c>
      <c r="AM19" s="24">
        <v>5.52</v>
      </c>
    </row>
    <row r="20" spans="1:39" ht="17" thickBot="1" x14ac:dyDescent="0.25">
      <c r="A20" s="24">
        <v>4.6130000000000004</v>
      </c>
      <c r="C20" s="37"/>
      <c r="D20" s="38"/>
      <c r="E20" s="38"/>
      <c r="F20" s="38"/>
      <c r="G20" s="38"/>
      <c r="H20" s="38"/>
      <c r="I20" s="38"/>
      <c r="J20" s="38"/>
      <c r="S20" s="1"/>
      <c r="AD20" s="24">
        <v>7.8949999999999996</v>
      </c>
      <c r="AE20" s="24">
        <v>7.1989999999999998</v>
      </c>
      <c r="AF20" s="24">
        <v>4.6130000000000004</v>
      </c>
      <c r="AG20" s="24">
        <v>4.6050000000000004</v>
      </c>
      <c r="AH20" s="24">
        <v>9.218</v>
      </c>
      <c r="AI20" s="24">
        <v>8.3559999999999999</v>
      </c>
      <c r="AJ20" s="24">
        <v>7.548</v>
      </c>
      <c r="AK20" s="24">
        <v>4.9269999999999996</v>
      </c>
      <c r="AL20" s="24">
        <v>5.52</v>
      </c>
      <c r="AM20" s="24">
        <v>5.226</v>
      </c>
    </row>
    <row r="21" spans="1:39" ht="33.5" customHeight="1" thickBot="1" x14ac:dyDescent="0.25">
      <c r="A21" s="24">
        <v>4.6050000000000004</v>
      </c>
      <c r="C21" s="39" t="s">
        <v>0</v>
      </c>
      <c r="D21" s="6"/>
      <c r="E21" s="41" t="s">
        <v>1</v>
      </c>
      <c r="F21" s="42"/>
      <c r="G21" s="42"/>
      <c r="H21" s="42"/>
      <c r="I21" s="42"/>
      <c r="J21" s="43"/>
      <c r="S21" s="1"/>
      <c r="AD21" s="24">
        <v>7.1989999999999998</v>
      </c>
      <c r="AE21" s="24">
        <v>4.6130000000000004</v>
      </c>
      <c r="AF21" s="24">
        <v>4.6050000000000004</v>
      </c>
      <c r="AG21" s="24">
        <v>9.218</v>
      </c>
      <c r="AH21" s="24">
        <v>8.3559999999999999</v>
      </c>
      <c r="AI21" s="24">
        <v>7.548</v>
      </c>
      <c r="AJ21" s="24">
        <v>4.9269999999999996</v>
      </c>
      <c r="AK21" s="24">
        <v>5.52</v>
      </c>
      <c r="AL21" s="24">
        <v>5.226</v>
      </c>
      <c r="AM21" s="24">
        <v>5.1719999999999997</v>
      </c>
    </row>
    <row r="22" spans="1:39" ht="19" thickBot="1" x14ac:dyDescent="0.25">
      <c r="A22" s="24">
        <v>9.218</v>
      </c>
      <c r="C22" s="40"/>
      <c r="D22" s="7"/>
      <c r="E22" s="8">
        <v>10</v>
      </c>
      <c r="F22" s="8">
        <v>20</v>
      </c>
      <c r="G22" s="8">
        <v>50</v>
      </c>
      <c r="H22" s="8">
        <v>100</v>
      </c>
      <c r="I22" s="19">
        <v>200</v>
      </c>
      <c r="J22" s="21">
        <v>300</v>
      </c>
      <c r="S22" s="1"/>
      <c r="AD22" s="24">
        <v>4.6130000000000004</v>
      </c>
      <c r="AE22" s="24">
        <v>4.6050000000000004</v>
      </c>
      <c r="AF22" s="24">
        <v>9.218</v>
      </c>
      <c r="AG22" s="24">
        <v>8.3559999999999999</v>
      </c>
      <c r="AH22" s="24">
        <v>7.548</v>
      </c>
      <c r="AI22" s="24">
        <v>4.9269999999999996</v>
      </c>
      <c r="AJ22" s="24">
        <v>5.52</v>
      </c>
      <c r="AK22" s="24">
        <v>5.226</v>
      </c>
      <c r="AL22" s="24">
        <v>5.1719999999999997</v>
      </c>
      <c r="AM22" s="24">
        <v>9.0459999999999994</v>
      </c>
    </row>
    <row r="23" spans="1:39" ht="19" x14ac:dyDescent="0.2">
      <c r="A23" s="24">
        <v>8.3559999999999999</v>
      </c>
      <c r="C23" s="26" t="s">
        <v>2</v>
      </c>
      <c r="D23" s="5" t="s">
        <v>3</v>
      </c>
      <c r="E23" s="9">
        <f>AVERAGE(A1:A10)</f>
        <v>12.162000000000001</v>
      </c>
      <c r="F23" s="9">
        <f>AVERAGE(A1:A20)</f>
        <v>12.584850000000003</v>
      </c>
      <c r="G23" s="9">
        <f>AVERAGE(A1:A50)</f>
        <v>13.956940000000005</v>
      </c>
      <c r="H23" s="9">
        <f>AVERAGE(A1:A100)</f>
        <v>16.73098000000001</v>
      </c>
      <c r="I23" s="17">
        <f>AVERAGE(A1:A200)</f>
        <v>14.74936499999999</v>
      </c>
      <c r="J23" s="32">
        <f>AVERAGE(A1:A300)</f>
        <v>15.233643333333335</v>
      </c>
      <c r="S23" s="1"/>
      <c r="AD23" s="24">
        <v>4.6050000000000004</v>
      </c>
      <c r="AE23" s="24">
        <v>9.218</v>
      </c>
      <c r="AF23" s="24">
        <v>8.3559999999999999</v>
      </c>
      <c r="AG23" s="24">
        <v>7.548</v>
      </c>
      <c r="AH23" s="24">
        <v>4.9269999999999996</v>
      </c>
      <c r="AI23" s="24">
        <v>5.52</v>
      </c>
      <c r="AJ23" s="24">
        <v>5.226</v>
      </c>
      <c r="AK23" s="24">
        <v>5.1719999999999997</v>
      </c>
      <c r="AL23" s="24">
        <v>9.0459999999999994</v>
      </c>
      <c r="AM23" s="24">
        <v>4.6120000000000001</v>
      </c>
    </row>
    <row r="24" spans="1:39" ht="19" x14ac:dyDescent="0.2">
      <c r="A24" s="24">
        <v>7.548</v>
      </c>
      <c r="C24" s="26"/>
      <c r="D24" s="3" t="s">
        <v>4</v>
      </c>
      <c r="E24" s="10">
        <f>(E23 - $J23)/ $J23 * 100</f>
        <v>-20.163550282237146</v>
      </c>
      <c r="F24" s="10">
        <f t="shared" ref="F24:I24" si="1">(F23 - $J23)/ $J23 * 100</f>
        <v>-17.387786200412101</v>
      </c>
      <c r="G24" s="10">
        <f t="shared" si="1"/>
        <v>-8.3808141322287977</v>
      </c>
      <c r="H24" s="10">
        <f t="shared" si="1"/>
        <v>9.8291435207117743</v>
      </c>
      <c r="I24" s="10">
        <f t="shared" si="1"/>
        <v>-3.1790053287756597</v>
      </c>
      <c r="J24" s="33"/>
      <c r="S24" s="1"/>
      <c r="AD24" s="24">
        <v>9.218</v>
      </c>
      <c r="AE24" s="24">
        <v>8.3559999999999999</v>
      </c>
      <c r="AF24" s="24">
        <v>7.548</v>
      </c>
      <c r="AG24" s="24">
        <v>4.9269999999999996</v>
      </c>
      <c r="AH24" s="24">
        <v>5.52</v>
      </c>
      <c r="AI24" s="24">
        <v>5.226</v>
      </c>
      <c r="AJ24" s="24">
        <v>5.1719999999999997</v>
      </c>
      <c r="AK24" s="24">
        <v>9.0459999999999994</v>
      </c>
      <c r="AL24" s="24">
        <v>4.6120000000000001</v>
      </c>
      <c r="AM24" s="24">
        <v>6.9279999999999999</v>
      </c>
    </row>
    <row r="25" spans="1:39" ht="19" x14ac:dyDescent="0.2">
      <c r="A25" s="24">
        <v>4.9269999999999996</v>
      </c>
      <c r="C25" s="26" t="s">
        <v>5</v>
      </c>
      <c r="D25" s="3" t="s">
        <v>3</v>
      </c>
      <c r="E25" s="4">
        <f>CONFIDENCE(0.1,E33, E22)</f>
        <v>8.7714329366141648</v>
      </c>
      <c r="F25" s="4">
        <f t="shared" ref="F25:I25" si="2">CONFIDENCE(0.1,F33, F22)</f>
        <v>6.0801106442796078</v>
      </c>
      <c r="G25" s="4">
        <f t="shared" si="2"/>
        <v>4.6706499850401109</v>
      </c>
      <c r="H25" s="4">
        <f t="shared" si="2"/>
        <v>5.1854839769530638</v>
      </c>
      <c r="I25" s="18">
        <f t="shared" si="2"/>
        <v>3.0126719492046949</v>
      </c>
      <c r="J25" s="30">
        <f>CONFIDENCE(0.1, J33, J22)</f>
        <v>2.6293785366161244</v>
      </c>
      <c r="S25" s="1"/>
      <c r="AD25" s="24">
        <v>8.3559999999999999</v>
      </c>
      <c r="AE25" s="24">
        <v>7.548</v>
      </c>
      <c r="AF25" s="24">
        <v>4.9269999999999996</v>
      </c>
      <c r="AG25" s="24">
        <v>5.52</v>
      </c>
      <c r="AH25" s="24">
        <v>5.226</v>
      </c>
      <c r="AI25" s="24">
        <v>5.1719999999999997</v>
      </c>
      <c r="AJ25" s="24">
        <v>9.0459999999999994</v>
      </c>
      <c r="AK25" s="24">
        <v>4.6120000000000001</v>
      </c>
      <c r="AL25" s="24">
        <v>6.9279999999999999</v>
      </c>
      <c r="AM25" s="24">
        <v>5.4459999999999997</v>
      </c>
    </row>
    <row r="26" spans="1:39" ht="38.5" customHeight="1" x14ac:dyDescent="0.2">
      <c r="A26" s="24">
        <v>5.52</v>
      </c>
      <c r="C26" s="26"/>
      <c r="D26" s="3" t="s">
        <v>4</v>
      </c>
      <c r="E26" s="10">
        <f>(E25 - $J25)/ $J25 * 100</f>
        <v>233.59338773269783</v>
      </c>
      <c r="F26" s="10">
        <f t="shared" ref="F26:I26" si="3">(F25 - $J25)/ $J25 * 100</f>
        <v>131.23755517166421</v>
      </c>
      <c r="G26" s="10">
        <f t="shared" si="3"/>
        <v>77.633228536618333</v>
      </c>
      <c r="H26" s="10">
        <f t="shared" si="3"/>
        <v>97.213292218720099</v>
      </c>
      <c r="I26" s="10">
        <f t="shared" si="3"/>
        <v>14.577338608759222</v>
      </c>
      <c r="J26" s="31"/>
      <c r="S26" s="1"/>
      <c r="AD26" s="24">
        <v>7.548</v>
      </c>
      <c r="AE26" s="24">
        <v>4.9269999999999996</v>
      </c>
      <c r="AF26" s="24">
        <v>5.52</v>
      </c>
      <c r="AG26" s="24">
        <v>5.226</v>
      </c>
      <c r="AH26" s="24">
        <v>5.1719999999999997</v>
      </c>
      <c r="AI26" s="24">
        <v>9.0459999999999994</v>
      </c>
      <c r="AJ26" s="24">
        <v>4.6120000000000001</v>
      </c>
      <c r="AK26" s="24">
        <v>6.9279999999999999</v>
      </c>
      <c r="AL26" s="24">
        <v>5.4459999999999997</v>
      </c>
      <c r="AM26" s="24">
        <v>9.7270000000000003</v>
      </c>
    </row>
    <row r="27" spans="1:39" ht="19" x14ac:dyDescent="0.2">
      <c r="A27" s="24">
        <v>5.226</v>
      </c>
      <c r="C27" s="26" t="s">
        <v>6</v>
      </c>
      <c r="D27" s="3" t="s">
        <v>3</v>
      </c>
      <c r="E27" s="4">
        <f>CONFIDENCE(0.05, E33, E22)</f>
        <v>10.451806997826786</v>
      </c>
      <c r="F27" s="4">
        <f t="shared" ref="F27:I27" si="4">CONFIDENCE(0.05, F33, F22)</f>
        <v>7.2448986885799274</v>
      </c>
      <c r="G27" s="4">
        <f t="shared" si="4"/>
        <v>5.5654227252047397</v>
      </c>
      <c r="H27" s="4">
        <f t="shared" si="4"/>
        <v>6.1788852641399092</v>
      </c>
      <c r="I27" s="18">
        <f t="shared" si="4"/>
        <v>3.5898200429049436</v>
      </c>
      <c r="J27" s="30">
        <f>CONFIDENCE(0.05, J33, J22)</f>
        <v>3.1330977717704718</v>
      </c>
      <c r="S27" s="1"/>
      <c r="AD27" s="24">
        <v>4.9269999999999996</v>
      </c>
      <c r="AE27" s="24">
        <v>5.52</v>
      </c>
      <c r="AF27" s="24">
        <v>5.226</v>
      </c>
      <c r="AG27" s="24">
        <v>5.1719999999999997</v>
      </c>
      <c r="AH27" s="24">
        <v>9.0459999999999994</v>
      </c>
      <c r="AI27" s="24">
        <v>4.6120000000000001</v>
      </c>
      <c r="AJ27" s="24">
        <v>6.9279999999999999</v>
      </c>
      <c r="AK27" s="24">
        <v>5.4459999999999997</v>
      </c>
      <c r="AL27" s="24">
        <v>9.7270000000000003</v>
      </c>
      <c r="AM27" s="24">
        <v>107.898</v>
      </c>
    </row>
    <row r="28" spans="1:39" ht="42" customHeight="1" x14ac:dyDescent="0.2">
      <c r="A28" s="24">
        <v>5.1719999999999997</v>
      </c>
      <c r="C28" s="26"/>
      <c r="D28" s="3" t="s">
        <v>4</v>
      </c>
      <c r="E28" s="10">
        <f>(E27 - $J27)/ $J27 * 100</f>
        <v>233.59338773269783</v>
      </c>
      <c r="F28" s="10">
        <f t="shared" ref="F28:H28" si="5">(F27 - $J27)/ $J27 * 100</f>
        <v>131.23755517166421</v>
      </c>
      <c r="G28" s="10">
        <f t="shared" si="5"/>
        <v>77.633228536618361</v>
      </c>
      <c r="H28" s="10">
        <f t="shared" si="5"/>
        <v>97.213292218720113</v>
      </c>
      <c r="I28" s="10">
        <f>(I27 - $J27)/ $J27 * 100</f>
        <v>14.577338608759222</v>
      </c>
      <c r="J28" s="31"/>
      <c r="S28" s="1"/>
      <c r="AD28" s="24">
        <v>5.52</v>
      </c>
      <c r="AE28" s="24">
        <v>5.226</v>
      </c>
      <c r="AF28" s="24">
        <v>5.1719999999999997</v>
      </c>
      <c r="AG28" s="24">
        <v>9.0459999999999994</v>
      </c>
      <c r="AH28" s="24">
        <v>4.6120000000000001</v>
      </c>
      <c r="AI28" s="24">
        <v>6.9279999999999999</v>
      </c>
      <c r="AJ28" s="24">
        <v>5.4459999999999997</v>
      </c>
      <c r="AK28" s="24">
        <v>9.7270000000000003</v>
      </c>
      <c r="AL28" s="24">
        <v>107.898</v>
      </c>
      <c r="AM28" s="24">
        <v>7.1429999999999998</v>
      </c>
    </row>
    <row r="29" spans="1:39" ht="38.5" customHeight="1" x14ac:dyDescent="0.2">
      <c r="A29" s="24">
        <v>9.0459999999999994</v>
      </c>
      <c r="C29" s="26" t="s">
        <v>7</v>
      </c>
      <c r="D29" s="3" t="s">
        <v>3</v>
      </c>
      <c r="E29" s="4">
        <f>CONFIDENCE(0.01, E33, E22)</f>
        <v>13.73600277984573</v>
      </c>
      <c r="F29" s="4">
        <f t="shared" ref="F29:I29" si="6">CONFIDENCE(0.01, F33, F22)</f>
        <v>9.5214108475909125</v>
      </c>
      <c r="G29" s="4">
        <f t="shared" si="6"/>
        <v>7.3142052891260079</v>
      </c>
      <c r="H29" s="4">
        <f t="shared" si="6"/>
        <v>8.1204317284294518</v>
      </c>
      <c r="I29" s="18">
        <f t="shared" si="6"/>
        <v>4.717823252834755</v>
      </c>
      <c r="J29" s="30">
        <f>CONFIDENCE(0.01, J33, J22)</f>
        <v>4.1175884429856069</v>
      </c>
      <c r="S29" s="1"/>
      <c r="AD29" s="24">
        <v>5.226</v>
      </c>
      <c r="AE29" s="24">
        <v>5.1719999999999997</v>
      </c>
      <c r="AF29" s="24">
        <v>9.0459999999999994</v>
      </c>
      <c r="AG29" s="24">
        <v>4.6120000000000001</v>
      </c>
      <c r="AH29" s="24">
        <v>6.9279999999999999</v>
      </c>
      <c r="AI29" s="24">
        <v>5.4459999999999997</v>
      </c>
      <c r="AJ29" s="24">
        <v>9.7270000000000003</v>
      </c>
      <c r="AK29" s="24">
        <v>107.898</v>
      </c>
      <c r="AL29" s="24">
        <v>7.1429999999999998</v>
      </c>
      <c r="AM29" s="24">
        <v>4.6779999999999999</v>
      </c>
    </row>
    <row r="30" spans="1:39" ht="19" x14ac:dyDescent="0.2">
      <c r="A30" s="24">
        <v>4.6120000000000001</v>
      </c>
      <c r="C30" s="26"/>
      <c r="D30" s="3" t="s">
        <v>4</v>
      </c>
      <c r="E30" s="10">
        <f>(E29 - $J29)/ $J29 * 100</f>
        <v>233.59338773269781</v>
      </c>
      <c r="F30" s="10">
        <f t="shared" ref="F30:H30" si="7">(F29 - $J29)/ $J29 * 100</f>
        <v>131.23755517166421</v>
      </c>
      <c r="G30" s="10">
        <f t="shared" si="7"/>
        <v>77.633228536618333</v>
      </c>
      <c r="H30" s="10">
        <f t="shared" si="7"/>
        <v>97.213292218720099</v>
      </c>
      <c r="I30" s="10">
        <f>(I29 - $J29)/ $J29 * 100</f>
        <v>14.577338608759211</v>
      </c>
      <c r="J30" s="31"/>
      <c r="S30" s="1"/>
      <c r="AD30" s="24">
        <v>5.1719999999999997</v>
      </c>
      <c r="AE30" s="24">
        <v>9.0459999999999994</v>
      </c>
      <c r="AF30" s="24">
        <v>4.6120000000000001</v>
      </c>
      <c r="AG30" s="24">
        <v>6.9279999999999999</v>
      </c>
      <c r="AH30" s="24">
        <v>5.4459999999999997</v>
      </c>
      <c r="AI30" s="24">
        <v>9.7270000000000003</v>
      </c>
      <c r="AJ30" s="24">
        <v>107.898</v>
      </c>
      <c r="AK30" s="24">
        <v>7.1429999999999998</v>
      </c>
      <c r="AL30" s="24">
        <v>4.6779999999999999</v>
      </c>
      <c r="AM30" s="24">
        <v>5.0830000000000002</v>
      </c>
    </row>
    <row r="31" spans="1:39" ht="31.75" customHeight="1" x14ac:dyDescent="0.2">
      <c r="A31" s="24">
        <v>6.9279999999999999</v>
      </c>
      <c r="C31" s="26" t="s">
        <v>8</v>
      </c>
      <c r="D31" s="3" t="s">
        <v>3</v>
      </c>
      <c r="E31" s="4">
        <f>_xlfn.VAR.S(A1:A10)</f>
        <v>284.37183533333325</v>
      </c>
      <c r="F31" s="4">
        <f>_xlfn.VAR.S(A1:A20)</f>
        <v>273.2740839236842</v>
      </c>
      <c r="G31" s="4">
        <f>_xlfn.VAR.S(A1:A50)</f>
        <v>403.15322324122423</v>
      </c>
      <c r="H31" s="4">
        <f>_xlfn.VAR.S(A1:A100)</f>
        <v>993.85740911070639</v>
      </c>
      <c r="I31" s="18">
        <f>_xlfn.VAR.S(A1:A200)</f>
        <v>670.93302528821596</v>
      </c>
      <c r="J31" s="30">
        <f>_xlfn.VAR.S(A1:A300)</f>
        <v>766.60733114661093</v>
      </c>
      <c r="S31" s="1"/>
      <c r="AD31" s="24">
        <v>9.0459999999999994</v>
      </c>
      <c r="AE31" s="24">
        <v>4.6120000000000001</v>
      </c>
      <c r="AF31" s="24">
        <v>6.9279999999999999</v>
      </c>
      <c r="AG31" s="24">
        <v>5.4459999999999997</v>
      </c>
      <c r="AH31" s="24">
        <v>9.7270000000000003</v>
      </c>
      <c r="AI31" s="24">
        <v>107.898</v>
      </c>
      <c r="AJ31" s="24">
        <v>7.1429999999999998</v>
      </c>
      <c r="AK31" s="24">
        <v>4.6779999999999999</v>
      </c>
      <c r="AL31" s="24">
        <v>5.0830000000000002</v>
      </c>
      <c r="AM31" s="24">
        <v>4.617</v>
      </c>
    </row>
    <row r="32" spans="1:39" ht="19" x14ac:dyDescent="0.2">
      <c r="A32" s="24">
        <v>5.4459999999999997</v>
      </c>
      <c r="C32" s="26"/>
      <c r="D32" s="3" t="s">
        <v>4</v>
      </c>
      <c r="E32" s="10">
        <f>(E31 - $J31)/ $J31 * 100</f>
        <v>-62.905150553673984</v>
      </c>
      <c r="F32" s="10">
        <f t="shared" ref="F32:I32" si="8">(F31 - $J31)/ $J31 * 100</f>
        <v>-64.35279538548771</v>
      </c>
      <c r="G32" s="10">
        <f t="shared" si="8"/>
        <v>-47.410726866095857</v>
      </c>
      <c r="H32" s="10">
        <f t="shared" si="8"/>
        <v>29.643608759154262</v>
      </c>
      <c r="I32" s="10">
        <f t="shared" si="8"/>
        <v>-12.480223182224904</v>
      </c>
      <c r="J32" s="31"/>
      <c r="S32" s="1"/>
      <c r="AD32" s="24">
        <v>4.6120000000000001</v>
      </c>
      <c r="AE32" s="24">
        <v>6.9279999999999999</v>
      </c>
      <c r="AF32" s="24">
        <v>5.4459999999999997</v>
      </c>
      <c r="AG32" s="24">
        <v>9.7270000000000003</v>
      </c>
      <c r="AH32" s="24">
        <v>107.898</v>
      </c>
      <c r="AI32" s="24">
        <v>7.1429999999999998</v>
      </c>
      <c r="AJ32" s="24">
        <v>4.6779999999999999</v>
      </c>
      <c r="AK32" s="24">
        <v>5.0830000000000002</v>
      </c>
      <c r="AL32" s="24">
        <v>4.617</v>
      </c>
      <c r="AM32" s="24">
        <v>6.3570000000000002</v>
      </c>
    </row>
    <row r="33" spans="1:39" ht="31.75" customHeight="1" x14ac:dyDescent="0.2">
      <c r="A33" s="24">
        <v>9.7270000000000003</v>
      </c>
      <c r="C33" s="26" t="s">
        <v>9</v>
      </c>
      <c r="D33" s="3" t="s">
        <v>3</v>
      </c>
      <c r="E33" s="4">
        <f>STDEV(A1:A10)</f>
        <v>16.863328121498832</v>
      </c>
      <c r="F33" s="4">
        <f>STDEV(A1:A20)</f>
        <v>16.531003717974425</v>
      </c>
      <c r="G33" s="4">
        <f>STDEV(A1:A50)</f>
        <v>20.078675833859766</v>
      </c>
      <c r="H33" s="4">
        <f>STDEV(A1:A100)</f>
        <v>31.525504105576271</v>
      </c>
      <c r="I33" s="18">
        <f>STDEV(A1:A200)</f>
        <v>25.902374896681113</v>
      </c>
      <c r="J33" s="30">
        <f>STDEV(A1:A300)</f>
        <v>27.687674715414637</v>
      </c>
      <c r="S33" s="1"/>
      <c r="AD33" s="24">
        <v>6.9279999999999999</v>
      </c>
      <c r="AE33" s="24">
        <v>5.4459999999999997</v>
      </c>
      <c r="AF33" s="24">
        <v>9.7270000000000003</v>
      </c>
      <c r="AG33" s="24">
        <v>107.898</v>
      </c>
      <c r="AH33" s="24">
        <v>7.1429999999999998</v>
      </c>
      <c r="AI33" s="24">
        <v>4.6779999999999999</v>
      </c>
      <c r="AJ33" s="24">
        <v>5.0830000000000002</v>
      </c>
      <c r="AK33" s="24">
        <v>4.617</v>
      </c>
      <c r="AL33" s="24">
        <v>6.3570000000000002</v>
      </c>
      <c r="AM33" s="24">
        <v>35.72</v>
      </c>
    </row>
    <row r="34" spans="1:39" ht="19" x14ac:dyDescent="0.2">
      <c r="A34" s="24">
        <v>107.898</v>
      </c>
      <c r="C34" s="26"/>
      <c r="D34" s="3" t="s">
        <v>4</v>
      </c>
      <c r="E34" s="10">
        <f>(E33 - $J33)/ $J33 * 100</f>
        <v>-39.094458834744749</v>
      </c>
      <c r="F34" s="10">
        <f t="shared" ref="F34:I34" si="9">(F33 - $J33)/ $J33 * 100</f>
        <v>-40.29471998682839</v>
      </c>
      <c r="G34" s="10">
        <f t="shared" si="9"/>
        <v>-27.48153812034888</v>
      </c>
      <c r="H34" s="10">
        <f t="shared" si="9"/>
        <v>13.861147350250356</v>
      </c>
      <c r="I34" s="10">
        <f t="shared" si="9"/>
        <v>-6.4479947741497732</v>
      </c>
      <c r="J34" s="31"/>
      <c r="S34" s="1"/>
      <c r="AD34" s="24">
        <v>5.4459999999999997</v>
      </c>
      <c r="AE34" s="24">
        <v>9.7270000000000003</v>
      </c>
      <c r="AF34" s="24">
        <v>107.898</v>
      </c>
      <c r="AG34" s="24">
        <v>7.1429999999999998</v>
      </c>
      <c r="AH34" s="24">
        <v>4.6779999999999999</v>
      </c>
      <c r="AI34" s="24">
        <v>5.0830000000000002</v>
      </c>
      <c r="AJ34" s="24">
        <v>4.617</v>
      </c>
      <c r="AK34" s="24">
        <v>6.3570000000000002</v>
      </c>
      <c r="AL34" s="24">
        <v>35.72</v>
      </c>
      <c r="AM34" s="24">
        <v>44.366</v>
      </c>
    </row>
    <row r="35" spans="1:39" ht="19" x14ac:dyDescent="0.2">
      <c r="A35" s="24">
        <v>7.1429999999999998</v>
      </c>
      <c r="C35" s="26" t="s">
        <v>10</v>
      </c>
      <c r="D35" s="3" t="s">
        <v>3</v>
      </c>
      <c r="E35" s="4">
        <f t="shared" ref="E35:H35" si="10">E33/E23</f>
        <v>1.3865587996627882</v>
      </c>
      <c r="F35" s="4">
        <f t="shared" si="10"/>
        <v>1.3135638261858045</v>
      </c>
      <c r="G35" s="4">
        <f t="shared" si="10"/>
        <v>1.4386159024728744</v>
      </c>
      <c r="H35" s="4">
        <f t="shared" si="10"/>
        <v>1.8842592666763245</v>
      </c>
      <c r="I35" s="18">
        <f>I33/I23</f>
        <v>1.7561688178902028</v>
      </c>
      <c r="J35" s="28">
        <f>J33/J23</f>
        <v>1.8175346573088098</v>
      </c>
      <c r="S35" s="1"/>
      <c r="AD35" s="24">
        <v>9.7270000000000003</v>
      </c>
      <c r="AE35" s="24">
        <v>107.898</v>
      </c>
      <c r="AF35" s="24">
        <v>7.1429999999999998</v>
      </c>
      <c r="AG35" s="24">
        <v>4.6779999999999999</v>
      </c>
      <c r="AH35" s="24">
        <v>5.0830000000000002</v>
      </c>
      <c r="AI35" s="24">
        <v>4.617</v>
      </c>
      <c r="AJ35" s="24">
        <v>6.3570000000000002</v>
      </c>
      <c r="AK35" s="24">
        <v>35.72</v>
      </c>
      <c r="AL35" s="24">
        <v>44.366</v>
      </c>
      <c r="AM35" s="24">
        <v>30.173999999999999</v>
      </c>
    </row>
    <row r="36" spans="1:39" ht="39" customHeight="1" x14ac:dyDescent="0.2">
      <c r="A36" s="24">
        <v>4.6779999999999999</v>
      </c>
      <c r="C36" s="26"/>
      <c r="D36" s="3" t="s">
        <v>4</v>
      </c>
      <c r="E36" s="10">
        <f>(E35 - $J35)/ $J35 * 100</f>
        <v>-23.712112223717355</v>
      </c>
      <c r="F36" s="10">
        <f t="shared" ref="F36:I36" si="11">(F35 - $J35)/ $J35 * 100</f>
        <v>-27.728265268362239</v>
      </c>
      <c r="G36" s="10">
        <f t="shared" si="11"/>
        <v>-20.847952104362811</v>
      </c>
      <c r="H36" s="10">
        <f t="shared" si="11"/>
        <v>3.6711602224032731</v>
      </c>
      <c r="I36" s="10">
        <f t="shared" si="11"/>
        <v>-3.3763229312760523</v>
      </c>
      <c r="J36" s="29"/>
      <c r="S36" s="1"/>
      <c r="AD36" s="24">
        <v>107.898</v>
      </c>
      <c r="AE36" s="24">
        <v>7.1429999999999998</v>
      </c>
      <c r="AF36" s="24">
        <v>4.6779999999999999</v>
      </c>
      <c r="AG36" s="24">
        <v>5.0830000000000002</v>
      </c>
      <c r="AH36" s="24">
        <v>4.617</v>
      </c>
      <c r="AI36" s="24">
        <v>6.3570000000000002</v>
      </c>
      <c r="AJ36" s="24">
        <v>35.72</v>
      </c>
      <c r="AK36" s="24">
        <v>44.366</v>
      </c>
      <c r="AL36" s="24">
        <v>30.173999999999999</v>
      </c>
      <c r="AM36" s="24">
        <v>5.2990000000000004</v>
      </c>
    </row>
    <row r="37" spans="1:39" ht="31.75" customHeight="1" x14ac:dyDescent="0.2">
      <c r="A37" s="24">
        <v>5.0830000000000002</v>
      </c>
      <c r="J37" s="27"/>
      <c r="S37" s="1"/>
      <c r="AD37" s="24">
        <v>7.1429999999999998</v>
      </c>
      <c r="AE37" s="24">
        <v>4.6779999999999999</v>
      </c>
      <c r="AF37" s="24">
        <v>5.0830000000000002</v>
      </c>
      <c r="AG37" s="24">
        <v>4.617</v>
      </c>
      <c r="AH37" s="24">
        <v>6.3570000000000002</v>
      </c>
      <c r="AI37" s="24">
        <v>35.72</v>
      </c>
      <c r="AJ37" s="24">
        <v>44.366</v>
      </c>
      <c r="AK37" s="24">
        <v>30.173999999999999</v>
      </c>
      <c r="AL37" s="24">
        <v>5.2990000000000004</v>
      </c>
      <c r="AM37" s="24">
        <v>4.6630000000000003</v>
      </c>
    </row>
    <row r="38" spans="1:39" x14ac:dyDescent="0.2">
      <c r="A38" s="24">
        <v>4.617</v>
      </c>
      <c r="J38" s="27"/>
      <c r="S38" s="1"/>
      <c r="AD38" s="24">
        <v>4.6779999999999999</v>
      </c>
      <c r="AE38" s="24">
        <v>5.0830000000000002</v>
      </c>
      <c r="AF38" s="24">
        <v>4.617</v>
      </c>
      <c r="AG38" s="24">
        <v>6.3570000000000002</v>
      </c>
      <c r="AH38" s="24">
        <v>35.72</v>
      </c>
      <c r="AI38" s="24">
        <v>44.366</v>
      </c>
      <c r="AJ38" s="24">
        <v>30.173999999999999</v>
      </c>
      <c r="AK38" s="24">
        <v>5.2990000000000004</v>
      </c>
      <c r="AL38" s="24">
        <v>4.6630000000000003</v>
      </c>
      <c r="AM38" s="24">
        <v>9.7530000000000001</v>
      </c>
    </row>
    <row r="39" spans="1:39" x14ac:dyDescent="0.2">
      <c r="A39" s="24">
        <v>6.3570000000000002</v>
      </c>
      <c r="C39" s="2"/>
      <c r="S39" s="1"/>
      <c r="AD39" s="24">
        <v>5.0830000000000002</v>
      </c>
      <c r="AE39" s="24">
        <v>4.617</v>
      </c>
      <c r="AF39" s="24">
        <v>6.3570000000000002</v>
      </c>
      <c r="AG39" s="24">
        <v>35.72</v>
      </c>
      <c r="AH39" s="24">
        <v>44.366</v>
      </c>
      <c r="AI39" s="24">
        <v>30.173999999999999</v>
      </c>
      <c r="AJ39" s="24">
        <v>5.2990000000000004</v>
      </c>
      <c r="AK39" s="24">
        <v>4.6630000000000003</v>
      </c>
      <c r="AL39" s="24">
        <v>9.7530000000000001</v>
      </c>
      <c r="AM39" s="24">
        <v>6.8029999999999999</v>
      </c>
    </row>
    <row r="40" spans="1:39" x14ac:dyDescent="0.2">
      <c r="A40" s="24">
        <v>35.72</v>
      </c>
      <c r="C40" s="2" t="s">
        <v>11</v>
      </c>
      <c r="D40" t="s">
        <v>14</v>
      </c>
      <c r="S40" s="1"/>
      <c r="AD40" s="24">
        <v>4.617</v>
      </c>
      <c r="AE40" s="24">
        <v>6.3570000000000002</v>
      </c>
      <c r="AF40" s="24">
        <v>35.72</v>
      </c>
      <c r="AG40" s="24">
        <v>44.366</v>
      </c>
      <c r="AH40" s="24">
        <v>30.173999999999999</v>
      </c>
      <c r="AI40" s="24">
        <v>5.2990000000000004</v>
      </c>
      <c r="AJ40" s="24">
        <v>4.6630000000000003</v>
      </c>
      <c r="AK40" s="24">
        <v>9.7530000000000001</v>
      </c>
      <c r="AL40" s="24">
        <v>6.8029999999999999</v>
      </c>
      <c r="AM40" s="24">
        <v>7.7949999999999999</v>
      </c>
    </row>
    <row r="41" spans="1:39" x14ac:dyDescent="0.2">
      <c r="A41" s="24">
        <v>44.366</v>
      </c>
      <c r="C41" s="2" t="s">
        <v>11</v>
      </c>
      <c r="S41" s="1"/>
      <c r="AD41" s="24">
        <v>6.3570000000000002</v>
      </c>
      <c r="AE41" s="24">
        <v>35.72</v>
      </c>
      <c r="AF41" s="24">
        <v>44.366</v>
      </c>
      <c r="AG41" s="24">
        <v>30.173999999999999</v>
      </c>
      <c r="AH41" s="24">
        <v>5.2990000000000004</v>
      </c>
      <c r="AI41" s="24">
        <v>4.6630000000000003</v>
      </c>
      <c r="AJ41" s="24">
        <v>9.7530000000000001</v>
      </c>
      <c r="AK41" s="24">
        <v>6.8029999999999999</v>
      </c>
      <c r="AL41" s="24">
        <v>7.7949999999999999</v>
      </c>
      <c r="AM41" s="24">
        <v>4.9509999999999996</v>
      </c>
    </row>
    <row r="42" spans="1:39" x14ac:dyDescent="0.2">
      <c r="A42" s="24">
        <v>30.173999999999999</v>
      </c>
      <c r="C42" s="2" t="s">
        <v>11</v>
      </c>
      <c r="S42" s="1"/>
      <c r="AD42" s="24">
        <v>35.72</v>
      </c>
      <c r="AE42" s="24">
        <v>44.366</v>
      </c>
      <c r="AF42" s="24">
        <v>30.173999999999999</v>
      </c>
      <c r="AG42" s="24">
        <v>5.2990000000000004</v>
      </c>
      <c r="AH42" s="24">
        <v>4.6630000000000003</v>
      </c>
      <c r="AI42" s="24">
        <v>9.7530000000000001</v>
      </c>
      <c r="AJ42" s="24">
        <v>6.8029999999999999</v>
      </c>
      <c r="AK42" s="24">
        <v>7.7949999999999999</v>
      </c>
      <c r="AL42" s="24">
        <v>4.9509999999999996</v>
      </c>
      <c r="AM42" s="24">
        <v>9.8079999999999998</v>
      </c>
    </row>
    <row r="43" spans="1:39" x14ac:dyDescent="0.2">
      <c r="A43" s="24">
        <v>5.2990000000000004</v>
      </c>
      <c r="S43" s="1"/>
      <c r="AD43" s="24">
        <v>44.366</v>
      </c>
      <c r="AE43" s="24">
        <v>30.173999999999999</v>
      </c>
      <c r="AF43" s="24">
        <v>5.2990000000000004</v>
      </c>
      <c r="AG43" s="24">
        <v>4.6630000000000003</v>
      </c>
      <c r="AH43" s="24">
        <v>9.7530000000000001</v>
      </c>
      <c r="AI43" s="24">
        <v>6.8029999999999999</v>
      </c>
      <c r="AJ43" s="24">
        <v>7.7949999999999999</v>
      </c>
      <c r="AK43" s="24">
        <v>4.9509999999999996</v>
      </c>
      <c r="AL43" s="24">
        <v>9.8079999999999998</v>
      </c>
      <c r="AM43" s="24">
        <v>64.710999999999999</v>
      </c>
    </row>
    <row r="44" spans="1:39" x14ac:dyDescent="0.2">
      <c r="A44" s="24">
        <v>4.6630000000000003</v>
      </c>
      <c r="S44" s="1"/>
      <c r="AD44" s="24">
        <v>30.173999999999999</v>
      </c>
      <c r="AE44" s="24">
        <v>5.2990000000000004</v>
      </c>
      <c r="AF44" s="24">
        <v>4.6630000000000003</v>
      </c>
      <c r="AG44" s="24">
        <v>9.7530000000000001</v>
      </c>
      <c r="AH44" s="24">
        <v>6.8029999999999999</v>
      </c>
      <c r="AI44" s="24">
        <v>7.7949999999999999</v>
      </c>
      <c r="AJ44" s="24">
        <v>4.9509999999999996</v>
      </c>
      <c r="AK44" s="24">
        <v>9.8079999999999998</v>
      </c>
      <c r="AL44" s="24">
        <v>64.710999999999999</v>
      </c>
      <c r="AM44" s="24">
        <v>7.3470000000000004</v>
      </c>
    </row>
    <row r="45" spans="1:39" x14ac:dyDescent="0.2">
      <c r="A45" s="24">
        <v>9.7530000000000001</v>
      </c>
      <c r="S45" s="1"/>
      <c r="AD45" s="24">
        <v>5.2990000000000004</v>
      </c>
      <c r="AE45" s="24">
        <v>4.6630000000000003</v>
      </c>
      <c r="AF45" s="24">
        <v>9.7530000000000001</v>
      </c>
      <c r="AG45" s="24">
        <v>6.8029999999999999</v>
      </c>
      <c r="AH45" s="24">
        <v>7.7949999999999999</v>
      </c>
      <c r="AI45" s="24">
        <v>4.9509999999999996</v>
      </c>
      <c r="AJ45" s="24">
        <v>9.8079999999999998</v>
      </c>
      <c r="AK45" s="24">
        <v>64.710999999999999</v>
      </c>
      <c r="AL45" s="24">
        <v>7.3470000000000004</v>
      </c>
      <c r="AM45" s="24">
        <v>5.3920000000000003</v>
      </c>
    </row>
    <row r="46" spans="1:39" x14ac:dyDescent="0.2">
      <c r="A46" s="24">
        <v>6.8029999999999999</v>
      </c>
      <c r="S46" s="1"/>
      <c r="AD46" s="24">
        <v>4.6630000000000003</v>
      </c>
      <c r="AE46" s="24">
        <v>9.7530000000000001</v>
      </c>
      <c r="AF46" s="24">
        <v>6.8029999999999999</v>
      </c>
      <c r="AG46" s="24">
        <v>7.7949999999999999</v>
      </c>
      <c r="AH46" s="24">
        <v>4.9509999999999996</v>
      </c>
      <c r="AI46" s="24">
        <v>9.8079999999999998</v>
      </c>
      <c r="AJ46" s="24">
        <v>64.710999999999999</v>
      </c>
      <c r="AK46" s="24">
        <v>7.3470000000000004</v>
      </c>
      <c r="AL46" s="24">
        <v>5.3920000000000003</v>
      </c>
      <c r="AM46" s="24">
        <v>5.702</v>
      </c>
    </row>
    <row r="47" spans="1:39" x14ac:dyDescent="0.2">
      <c r="A47" s="24">
        <v>7.7949999999999999</v>
      </c>
      <c r="S47" s="1"/>
      <c r="AD47" s="24">
        <v>9.7530000000000001</v>
      </c>
      <c r="AE47" s="24">
        <v>6.8029999999999999</v>
      </c>
      <c r="AF47" s="24">
        <v>7.7949999999999999</v>
      </c>
      <c r="AG47" s="24">
        <v>4.9509999999999996</v>
      </c>
      <c r="AH47" s="24">
        <v>9.8079999999999998</v>
      </c>
      <c r="AI47" s="24">
        <v>64.710999999999999</v>
      </c>
      <c r="AJ47" s="24">
        <v>7.3470000000000004</v>
      </c>
      <c r="AK47" s="24">
        <v>5.3920000000000003</v>
      </c>
      <c r="AL47" s="24">
        <v>5.702</v>
      </c>
      <c r="AM47" s="24">
        <v>6.9829999999999997</v>
      </c>
    </row>
    <row r="48" spans="1:39" x14ac:dyDescent="0.2">
      <c r="A48" s="24">
        <v>4.9509999999999996</v>
      </c>
      <c r="S48" s="1"/>
      <c r="AD48" s="24">
        <v>6.8029999999999999</v>
      </c>
      <c r="AE48" s="24">
        <v>7.7949999999999999</v>
      </c>
      <c r="AF48" s="24">
        <v>4.9509999999999996</v>
      </c>
      <c r="AG48" s="24">
        <v>9.8079999999999998</v>
      </c>
      <c r="AH48" s="24">
        <v>64.710999999999999</v>
      </c>
      <c r="AI48" s="24">
        <v>7.3470000000000004</v>
      </c>
      <c r="AJ48" s="24">
        <v>5.3920000000000003</v>
      </c>
      <c r="AK48" s="24">
        <v>5.702</v>
      </c>
      <c r="AL48" s="24">
        <v>6.9829999999999997</v>
      </c>
      <c r="AM48" s="24">
        <v>6.2119999999999997</v>
      </c>
    </row>
    <row r="49" spans="1:39" x14ac:dyDescent="0.2">
      <c r="A49" s="24">
        <v>9.8079999999999998</v>
      </c>
      <c r="S49" s="1"/>
      <c r="AD49" s="24">
        <v>7.7949999999999999</v>
      </c>
      <c r="AE49" s="24">
        <v>4.9509999999999996</v>
      </c>
      <c r="AF49" s="24">
        <v>9.8079999999999998</v>
      </c>
      <c r="AG49" s="24">
        <v>64.710999999999999</v>
      </c>
      <c r="AH49" s="24">
        <v>7.3470000000000004</v>
      </c>
      <c r="AI49" s="24">
        <v>5.3920000000000003</v>
      </c>
      <c r="AJ49" s="24">
        <v>5.702</v>
      </c>
      <c r="AK49" s="24">
        <v>6.9829999999999997</v>
      </c>
      <c r="AL49" s="24">
        <v>6.2119999999999997</v>
      </c>
      <c r="AM49" s="24">
        <v>9.1739999999999995</v>
      </c>
    </row>
    <row r="50" spans="1:39" x14ac:dyDescent="0.2">
      <c r="A50" s="24">
        <v>64.710999999999999</v>
      </c>
      <c r="S50" s="1"/>
      <c r="AD50" s="24">
        <v>4.9509999999999996</v>
      </c>
      <c r="AE50" s="24">
        <v>9.8079999999999998</v>
      </c>
      <c r="AF50" s="24">
        <v>64.710999999999999</v>
      </c>
      <c r="AG50" s="24">
        <v>7.3470000000000004</v>
      </c>
      <c r="AH50" s="24">
        <v>5.3920000000000003</v>
      </c>
      <c r="AI50" s="24">
        <v>5.702</v>
      </c>
      <c r="AJ50" s="24">
        <v>6.9829999999999997</v>
      </c>
      <c r="AK50" s="24">
        <v>6.2119999999999997</v>
      </c>
      <c r="AL50" s="24">
        <v>9.1739999999999995</v>
      </c>
      <c r="AM50" s="24">
        <v>27.79</v>
      </c>
    </row>
    <row r="51" spans="1:39" x14ac:dyDescent="0.2">
      <c r="A51" s="24">
        <v>7.3470000000000004</v>
      </c>
      <c r="S51" s="1"/>
      <c r="AD51" s="24">
        <v>9.8079999999999998</v>
      </c>
      <c r="AE51" s="24">
        <v>64.710999999999999</v>
      </c>
      <c r="AF51" s="24">
        <v>7.3470000000000004</v>
      </c>
      <c r="AG51" s="24">
        <v>5.3920000000000003</v>
      </c>
      <c r="AH51" s="24">
        <v>5.702</v>
      </c>
      <c r="AI51" s="24">
        <v>6.9829999999999997</v>
      </c>
      <c r="AJ51" s="24">
        <v>6.2119999999999997</v>
      </c>
      <c r="AK51" s="24">
        <v>9.1739999999999995</v>
      </c>
      <c r="AL51" s="24">
        <v>27.79</v>
      </c>
      <c r="AM51" s="24">
        <v>4.7949999999999999</v>
      </c>
    </row>
    <row r="52" spans="1:39" x14ac:dyDescent="0.2">
      <c r="A52" s="24">
        <v>5.3920000000000003</v>
      </c>
      <c r="S52" s="1"/>
      <c r="AD52" s="24">
        <v>64.710999999999999</v>
      </c>
      <c r="AE52" s="24">
        <v>7.3470000000000004</v>
      </c>
      <c r="AF52" s="24">
        <v>5.3920000000000003</v>
      </c>
      <c r="AG52" s="24">
        <v>5.702</v>
      </c>
      <c r="AH52" s="24">
        <v>6.9829999999999997</v>
      </c>
      <c r="AI52" s="24">
        <v>6.2119999999999997</v>
      </c>
      <c r="AJ52" s="24">
        <v>9.1739999999999995</v>
      </c>
      <c r="AK52" s="24">
        <v>27.79</v>
      </c>
      <c r="AL52" s="24">
        <v>4.7949999999999999</v>
      </c>
      <c r="AM52" s="24">
        <v>66.733000000000004</v>
      </c>
    </row>
    <row r="53" spans="1:39" x14ac:dyDescent="0.2">
      <c r="A53" s="24">
        <v>5.702</v>
      </c>
      <c r="S53" s="1"/>
      <c r="AD53" s="24">
        <v>7.3470000000000004</v>
      </c>
      <c r="AE53" s="24">
        <v>5.3920000000000003</v>
      </c>
      <c r="AF53" s="24">
        <v>5.702</v>
      </c>
      <c r="AG53" s="24">
        <v>6.9829999999999997</v>
      </c>
      <c r="AH53" s="24">
        <v>6.2119999999999997</v>
      </c>
      <c r="AI53" s="24">
        <v>9.1739999999999995</v>
      </c>
      <c r="AJ53" s="24">
        <v>27.79</v>
      </c>
      <c r="AK53" s="24">
        <v>4.7949999999999999</v>
      </c>
      <c r="AL53" s="24">
        <v>66.733000000000004</v>
      </c>
      <c r="AM53" s="24">
        <v>53.781999999999996</v>
      </c>
    </row>
    <row r="54" spans="1:39" x14ac:dyDescent="0.2">
      <c r="A54" s="24">
        <v>6.9829999999999997</v>
      </c>
      <c r="S54" s="1"/>
      <c r="AD54" s="24">
        <v>5.3920000000000003</v>
      </c>
      <c r="AE54" s="24">
        <v>5.702</v>
      </c>
      <c r="AF54" s="24">
        <v>6.9829999999999997</v>
      </c>
      <c r="AG54" s="24">
        <v>6.2119999999999997</v>
      </c>
      <c r="AH54" s="24">
        <v>9.1739999999999995</v>
      </c>
      <c r="AI54" s="24">
        <v>27.79</v>
      </c>
      <c r="AJ54" s="24">
        <v>4.7949999999999999</v>
      </c>
      <c r="AK54" s="24">
        <v>66.733000000000004</v>
      </c>
      <c r="AL54" s="24">
        <v>53.781999999999996</v>
      </c>
      <c r="AM54" s="24">
        <v>6.6420000000000003</v>
      </c>
    </row>
    <row r="55" spans="1:39" x14ac:dyDescent="0.2">
      <c r="A55" s="24">
        <v>6.2119999999999997</v>
      </c>
      <c r="S55" s="1"/>
      <c r="AD55" s="24">
        <v>5.702</v>
      </c>
      <c r="AE55" s="24">
        <v>6.9829999999999997</v>
      </c>
      <c r="AF55" s="24">
        <v>6.2119999999999997</v>
      </c>
      <c r="AG55" s="24">
        <v>9.1739999999999995</v>
      </c>
      <c r="AH55" s="24">
        <v>27.79</v>
      </c>
      <c r="AI55" s="24">
        <v>4.7949999999999999</v>
      </c>
      <c r="AJ55" s="24">
        <v>66.733000000000004</v>
      </c>
      <c r="AK55" s="24">
        <v>53.781999999999996</v>
      </c>
      <c r="AL55" s="24">
        <v>6.6420000000000003</v>
      </c>
      <c r="AM55" s="24">
        <v>4.6989999999999998</v>
      </c>
    </row>
    <row r="56" spans="1:39" x14ac:dyDescent="0.2">
      <c r="A56" s="24">
        <v>9.1739999999999995</v>
      </c>
      <c r="S56" s="1"/>
      <c r="AD56" s="24">
        <v>6.9829999999999997</v>
      </c>
      <c r="AE56" s="24">
        <v>6.2119999999999997</v>
      </c>
      <c r="AF56" s="24">
        <v>9.1739999999999995</v>
      </c>
      <c r="AG56" s="24">
        <v>27.79</v>
      </c>
      <c r="AH56" s="24">
        <v>4.7949999999999999</v>
      </c>
      <c r="AI56" s="24">
        <v>66.733000000000004</v>
      </c>
      <c r="AJ56" s="24">
        <v>53.781999999999996</v>
      </c>
      <c r="AK56" s="24">
        <v>6.6420000000000003</v>
      </c>
      <c r="AL56" s="24">
        <v>4.6989999999999998</v>
      </c>
      <c r="AM56" s="24">
        <v>11.933</v>
      </c>
    </row>
    <row r="57" spans="1:39" x14ac:dyDescent="0.2">
      <c r="A57" s="24">
        <v>27.79</v>
      </c>
      <c r="S57" s="1"/>
      <c r="AD57" s="24">
        <v>6.2119999999999997</v>
      </c>
      <c r="AE57" s="24">
        <v>9.1739999999999995</v>
      </c>
      <c r="AF57" s="24">
        <v>27.79</v>
      </c>
      <c r="AG57" s="24">
        <v>4.7949999999999999</v>
      </c>
      <c r="AH57" s="24">
        <v>66.733000000000004</v>
      </c>
      <c r="AI57" s="24">
        <v>53.781999999999996</v>
      </c>
      <c r="AJ57" s="24">
        <v>6.6420000000000003</v>
      </c>
      <c r="AK57" s="24">
        <v>4.6989999999999998</v>
      </c>
      <c r="AL57" s="24">
        <v>11.933</v>
      </c>
      <c r="AM57" s="24">
        <v>4.6059999999999999</v>
      </c>
    </row>
    <row r="58" spans="1:39" x14ac:dyDescent="0.2">
      <c r="A58" s="24">
        <v>4.7949999999999999</v>
      </c>
      <c r="S58" s="1"/>
      <c r="AD58" s="24">
        <v>9.1739999999999995</v>
      </c>
      <c r="AE58" s="24">
        <v>27.79</v>
      </c>
      <c r="AF58" s="24">
        <v>4.7949999999999999</v>
      </c>
      <c r="AG58" s="24">
        <v>66.733000000000004</v>
      </c>
      <c r="AH58" s="24">
        <v>53.781999999999996</v>
      </c>
      <c r="AI58" s="24">
        <v>6.6420000000000003</v>
      </c>
      <c r="AJ58" s="24">
        <v>4.6989999999999998</v>
      </c>
      <c r="AK58" s="24">
        <v>11.933</v>
      </c>
      <c r="AL58" s="24">
        <v>4.6059999999999999</v>
      </c>
      <c r="AM58" s="24">
        <v>5.9619999999999997</v>
      </c>
    </row>
    <row r="59" spans="1:39" x14ac:dyDescent="0.2">
      <c r="A59" s="24">
        <v>66.733000000000004</v>
      </c>
      <c r="S59" s="1"/>
      <c r="AD59" s="24">
        <v>27.79</v>
      </c>
      <c r="AE59" s="24">
        <v>4.7949999999999999</v>
      </c>
      <c r="AF59" s="24">
        <v>66.733000000000004</v>
      </c>
      <c r="AG59" s="24">
        <v>53.781999999999996</v>
      </c>
      <c r="AH59" s="24">
        <v>6.6420000000000003</v>
      </c>
      <c r="AI59" s="24">
        <v>4.6989999999999998</v>
      </c>
      <c r="AJ59" s="24">
        <v>11.933</v>
      </c>
      <c r="AK59" s="24">
        <v>4.6059999999999999</v>
      </c>
      <c r="AL59" s="24">
        <v>5.9619999999999997</v>
      </c>
      <c r="AM59" s="24">
        <v>7.9809999999999999</v>
      </c>
    </row>
    <row r="60" spans="1:39" x14ac:dyDescent="0.2">
      <c r="A60" s="24">
        <v>53.781999999999996</v>
      </c>
      <c r="S60" s="1"/>
      <c r="AD60" s="24">
        <v>4.7949999999999999</v>
      </c>
      <c r="AE60" s="24">
        <v>66.733000000000004</v>
      </c>
      <c r="AF60" s="24">
        <v>53.781999999999996</v>
      </c>
      <c r="AG60" s="24">
        <v>6.6420000000000003</v>
      </c>
      <c r="AH60" s="24">
        <v>4.6989999999999998</v>
      </c>
      <c r="AI60" s="24">
        <v>11.933</v>
      </c>
      <c r="AJ60" s="24">
        <v>4.6059999999999999</v>
      </c>
      <c r="AK60" s="24">
        <v>5.9619999999999997</v>
      </c>
      <c r="AL60" s="24">
        <v>7.9809999999999999</v>
      </c>
      <c r="AM60" s="24">
        <v>4.6059999999999999</v>
      </c>
    </row>
    <row r="61" spans="1:39" x14ac:dyDescent="0.2">
      <c r="A61" s="24">
        <v>6.6420000000000003</v>
      </c>
      <c r="S61" s="1"/>
      <c r="AD61" s="24">
        <v>66.733000000000004</v>
      </c>
      <c r="AE61" s="24">
        <v>53.781999999999996</v>
      </c>
      <c r="AF61" s="24">
        <v>6.6420000000000003</v>
      </c>
      <c r="AG61" s="24">
        <v>4.6989999999999998</v>
      </c>
      <c r="AH61" s="24">
        <v>11.933</v>
      </c>
      <c r="AI61" s="24">
        <v>4.6059999999999999</v>
      </c>
      <c r="AJ61" s="24">
        <v>5.9619999999999997</v>
      </c>
      <c r="AK61" s="24">
        <v>7.9809999999999999</v>
      </c>
      <c r="AL61" s="24">
        <v>4.6059999999999999</v>
      </c>
      <c r="AM61" s="24">
        <v>4.6440000000000001</v>
      </c>
    </row>
    <row r="62" spans="1:39" x14ac:dyDescent="0.2">
      <c r="A62" s="24">
        <v>4.6989999999999998</v>
      </c>
      <c r="S62" s="1"/>
      <c r="AD62" s="24">
        <v>53.781999999999996</v>
      </c>
      <c r="AE62" s="24">
        <v>6.6420000000000003</v>
      </c>
      <c r="AF62" s="24">
        <v>4.6989999999999998</v>
      </c>
      <c r="AG62" s="24">
        <v>11.933</v>
      </c>
      <c r="AH62" s="24">
        <v>4.6059999999999999</v>
      </c>
      <c r="AI62" s="24">
        <v>5.9619999999999997</v>
      </c>
      <c r="AJ62" s="24">
        <v>7.9809999999999999</v>
      </c>
      <c r="AK62" s="24">
        <v>4.6059999999999999</v>
      </c>
      <c r="AL62" s="24">
        <v>4.6440000000000001</v>
      </c>
      <c r="AM62" s="24">
        <v>6.9779999999999998</v>
      </c>
    </row>
    <row r="63" spans="1:39" x14ac:dyDescent="0.2">
      <c r="A63" s="24">
        <v>11.933</v>
      </c>
      <c r="S63" s="1"/>
      <c r="AD63" s="24">
        <v>6.6420000000000003</v>
      </c>
      <c r="AE63" s="24">
        <v>4.6989999999999998</v>
      </c>
      <c r="AF63" s="24">
        <v>11.933</v>
      </c>
      <c r="AG63" s="24">
        <v>4.6059999999999999</v>
      </c>
      <c r="AH63" s="24">
        <v>5.9619999999999997</v>
      </c>
      <c r="AI63" s="24">
        <v>7.9809999999999999</v>
      </c>
      <c r="AJ63" s="24">
        <v>4.6059999999999999</v>
      </c>
      <c r="AK63" s="24">
        <v>4.6440000000000001</v>
      </c>
      <c r="AL63" s="24">
        <v>6.9779999999999998</v>
      </c>
      <c r="AM63" s="24">
        <v>4.62</v>
      </c>
    </row>
    <row r="64" spans="1:39" x14ac:dyDescent="0.2">
      <c r="A64" s="24">
        <v>4.6059999999999999</v>
      </c>
      <c r="S64" s="1"/>
      <c r="AD64" s="24">
        <v>4.6989999999999998</v>
      </c>
      <c r="AE64" s="24">
        <v>11.933</v>
      </c>
      <c r="AF64" s="24">
        <v>4.6059999999999999</v>
      </c>
      <c r="AG64" s="24">
        <v>5.9619999999999997</v>
      </c>
      <c r="AH64" s="24">
        <v>7.9809999999999999</v>
      </c>
      <c r="AI64" s="24">
        <v>4.6059999999999999</v>
      </c>
      <c r="AJ64" s="24">
        <v>4.6440000000000001</v>
      </c>
      <c r="AK64" s="24">
        <v>6.9779999999999998</v>
      </c>
      <c r="AL64" s="24">
        <v>4.62</v>
      </c>
      <c r="AM64" s="24">
        <v>5.71</v>
      </c>
    </row>
    <row r="65" spans="1:39" x14ac:dyDescent="0.2">
      <c r="A65" s="24">
        <v>5.9619999999999997</v>
      </c>
      <c r="S65" s="1"/>
      <c r="AD65" s="24">
        <v>11.933</v>
      </c>
      <c r="AE65" s="24">
        <v>4.6059999999999999</v>
      </c>
      <c r="AF65" s="24">
        <v>5.9619999999999997</v>
      </c>
      <c r="AG65" s="24">
        <v>7.9809999999999999</v>
      </c>
      <c r="AH65" s="24">
        <v>4.6059999999999999</v>
      </c>
      <c r="AI65" s="24">
        <v>4.6440000000000001</v>
      </c>
      <c r="AJ65" s="24">
        <v>6.9779999999999998</v>
      </c>
      <c r="AK65" s="24">
        <v>4.62</v>
      </c>
      <c r="AL65" s="24">
        <v>5.71</v>
      </c>
      <c r="AM65" s="24">
        <v>4.6680000000000001</v>
      </c>
    </row>
    <row r="66" spans="1:39" x14ac:dyDescent="0.2">
      <c r="A66" s="24">
        <v>7.9809999999999999</v>
      </c>
      <c r="S66" s="1"/>
      <c r="AD66" s="24">
        <v>4.6059999999999999</v>
      </c>
      <c r="AE66" s="24">
        <v>5.9619999999999997</v>
      </c>
      <c r="AF66" s="24">
        <v>7.9809999999999999</v>
      </c>
      <c r="AG66" s="24">
        <v>4.6059999999999999</v>
      </c>
      <c r="AH66" s="24">
        <v>4.6440000000000001</v>
      </c>
      <c r="AI66" s="24">
        <v>6.9779999999999998</v>
      </c>
      <c r="AJ66" s="24">
        <v>4.62</v>
      </c>
      <c r="AK66" s="24">
        <v>5.71</v>
      </c>
      <c r="AL66" s="24">
        <v>4.6680000000000001</v>
      </c>
      <c r="AM66" s="24">
        <v>190.6</v>
      </c>
    </row>
    <row r="67" spans="1:39" x14ac:dyDescent="0.2">
      <c r="A67" s="24">
        <v>4.6059999999999999</v>
      </c>
      <c r="S67" s="1"/>
      <c r="AD67" s="24">
        <v>5.9619999999999997</v>
      </c>
      <c r="AE67" s="24">
        <v>7.9809999999999999</v>
      </c>
      <c r="AF67" s="24">
        <v>4.6059999999999999</v>
      </c>
      <c r="AG67" s="24">
        <v>4.6440000000000001</v>
      </c>
      <c r="AH67" s="24">
        <v>6.9779999999999998</v>
      </c>
      <c r="AI67" s="24">
        <v>4.62</v>
      </c>
      <c r="AJ67" s="24">
        <v>5.71</v>
      </c>
      <c r="AK67" s="24">
        <v>4.6680000000000001</v>
      </c>
      <c r="AL67" s="24">
        <v>190.6</v>
      </c>
      <c r="AM67" s="24">
        <v>9.8559999999999999</v>
      </c>
    </row>
    <row r="68" spans="1:39" x14ac:dyDescent="0.2">
      <c r="A68" s="24">
        <v>4.6440000000000001</v>
      </c>
      <c r="S68" s="1"/>
      <c r="AD68" s="24">
        <v>7.9809999999999999</v>
      </c>
      <c r="AE68" s="24">
        <v>4.6059999999999999</v>
      </c>
      <c r="AF68" s="24">
        <v>4.6440000000000001</v>
      </c>
      <c r="AG68" s="24">
        <v>6.9779999999999998</v>
      </c>
      <c r="AH68" s="24">
        <v>4.62</v>
      </c>
      <c r="AI68" s="24">
        <v>5.71</v>
      </c>
      <c r="AJ68" s="24">
        <v>4.6680000000000001</v>
      </c>
      <c r="AK68" s="24">
        <v>190.6</v>
      </c>
      <c r="AL68" s="24">
        <v>9.8559999999999999</v>
      </c>
      <c r="AM68" s="24">
        <v>8.3320000000000007</v>
      </c>
    </row>
    <row r="69" spans="1:39" x14ac:dyDescent="0.2">
      <c r="A69" s="24">
        <v>6.9779999999999998</v>
      </c>
      <c r="S69" s="1"/>
      <c r="AD69" s="24">
        <v>4.6059999999999999</v>
      </c>
      <c r="AE69" s="24">
        <v>4.6440000000000001</v>
      </c>
      <c r="AF69" s="24">
        <v>6.9779999999999998</v>
      </c>
      <c r="AG69" s="24">
        <v>4.62</v>
      </c>
      <c r="AH69" s="24">
        <v>5.71</v>
      </c>
      <c r="AI69" s="24">
        <v>4.6680000000000001</v>
      </c>
      <c r="AJ69" s="24">
        <v>190.6</v>
      </c>
      <c r="AK69" s="24">
        <v>9.8559999999999999</v>
      </c>
      <c r="AL69" s="24">
        <v>8.3320000000000007</v>
      </c>
      <c r="AM69" s="24">
        <v>18.488</v>
      </c>
    </row>
    <row r="70" spans="1:39" x14ac:dyDescent="0.2">
      <c r="A70" s="24">
        <v>4.62</v>
      </c>
      <c r="S70" s="1"/>
      <c r="AD70" s="24">
        <v>4.6440000000000001</v>
      </c>
      <c r="AE70" s="24">
        <v>6.9779999999999998</v>
      </c>
      <c r="AF70" s="24">
        <v>4.62</v>
      </c>
      <c r="AG70" s="24">
        <v>5.71</v>
      </c>
      <c r="AH70" s="24">
        <v>4.6680000000000001</v>
      </c>
      <c r="AI70" s="24">
        <v>190.6</v>
      </c>
      <c r="AJ70" s="24">
        <v>9.8559999999999999</v>
      </c>
      <c r="AK70" s="24">
        <v>8.3320000000000007</v>
      </c>
      <c r="AL70" s="24">
        <v>18.488</v>
      </c>
      <c r="AM70" s="24">
        <v>5.9779999999999998</v>
      </c>
    </row>
    <row r="71" spans="1:39" x14ac:dyDescent="0.2">
      <c r="A71" s="24">
        <v>5.71</v>
      </c>
      <c r="S71" s="1"/>
      <c r="AD71" s="24">
        <v>6.9779999999999998</v>
      </c>
      <c r="AE71" s="24">
        <v>4.62</v>
      </c>
      <c r="AF71" s="24">
        <v>5.71</v>
      </c>
      <c r="AG71" s="24">
        <v>4.6680000000000001</v>
      </c>
      <c r="AH71" s="24">
        <v>190.6</v>
      </c>
      <c r="AI71" s="24">
        <v>9.8559999999999999</v>
      </c>
      <c r="AJ71" s="24">
        <v>8.3320000000000007</v>
      </c>
      <c r="AK71" s="24">
        <v>18.488</v>
      </c>
      <c r="AL71" s="24">
        <v>5.9779999999999998</v>
      </c>
      <c r="AM71" s="24">
        <v>23.256</v>
      </c>
    </row>
    <row r="72" spans="1:39" x14ac:dyDescent="0.2">
      <c r="A72" s="24">
        <v>4.6680000000000001</v>
      </c>
      <c r="S72" s="1"/>
      <c r="AD72" s="24">
        <v>4.62</v>
      </c>
      <c r="AE72" s="24">
        <v>5.71</v>
      </c>
      <c r="AF72" s="24">
        <v>4.6680000000000001</v>
      </c>
      <c r="AG72" s="24">
        <v>190.6</v>
      </c>
      <c r="AH72" s="24">
        <v>9.8559999999999999</v>
      </c>
      <c r="AI72" s="24">
        <v>8.3320000000000007</v>
      </c>
      <c r="AJ72" s="24">
        <v>18.488</v>
      </c>
      <c r="AK72" s="24">
        <v>5.9779999999999998</v>
      </c>
      <c r="AL72" s="24">
        <v>23.256</v>
      </c>
      <c r="AM72" s="24">
        <v>6.298</v>
      </c>
    </row>
    <row r="73" spans="1:39" x14ac:dyDescent="0.2">
      <c r="A73" s="24">
        <v>190.6</v>
      </c>
      <c r="S73" s="1"/>
      <c r="AD73" s="24">
        <v>5.71</v>
      </c>
      <c r="AE73" s="24">
        <v>4.6680000000000001</v>
      </c>
      <c r="AF73" s="24">
        <v>190.6</v>
      </c>
      <c r="AG73" s="24">
        <v>9.8559999999999999</v>
      </c>
      <c r="AH73" s="24">
        <v>8.3320000000000007</v>
      </c>
      <c r="AI73" s="24">
        <v>18.488</v>
      </c>
      <c r="AJ73" s="24">
        <v>5.9779999999999998</v>
      </c>
      <c r="AK73" s="24">
        <v>23.256</v>
      </c>
      <c r="AL73" s="24">
        <v>6.298</v>
      </c>
      <c r="AM73" s="24">
        <v>7.7750000000000004</v>
      </c>
    </row>
    <row r="74" spans="1:39" x14ac:dyDescent="0.2">
      <c r="A74" s="24">
        <v>9.8559999999999999</v>
      </c>
      <c r="S74" s="1"/>
      <c r="AD74" s="24">
        <v>4.6680000000000001</v>
      </c>
      <c r="AE74" s="24">
        <v>190.6</v>
      </c>
      <c r="AF74" s="24">
        <v>9.8559999999999999</v>
      </c>
      <c r="AG74" s="24">
        <v>8.3320000000000007</v>
      </c>
      <c r="AH74" s="24">
        <v>18.488</v>
      </c>
      <c r="AI74" s="24">
        <v>5.9779999999999998</v>
      </c>
      <c r="AJ74" s="24">
        <v>23.256</v>
      </c>
      <c r="AK74" s="24">
        <v>6.298</v>
      </c>
      <c r="AL74" s="24">
        <v>7.7750000000000004</v>
      </c>
      <c r="AM74" s="24">
        <v>4.641</v>
      </c>
    </row>
    <row r="75" spans="1:39" x14ac:dyDescent="0.2">
      <c r="A75" s="24">
        <v>8.3320000000000007</v>
      </c>
      <c r="S75" s="1"/>
      <c r="AD75" s="24">
        <v>190.6</v>
      </c>
      <c r="AE75" s="24">
        <v>9.8559999999999999</v>
      </c>
      <c r="AF75" s="24">
        <v>8.3320000000000007</v>
      </c>
      <c r="AG75" s="24">
        <v>18.488</v>
      </c>
      <c r="AH75" s="24">
        <v>5.9779999999999998</v>
      </c>
      <c r="AI75" s="24">
        <v>23.256</v>
      </c>
      <c r="AJ75" s="24">
        <v>6.298</v>
      </c>
      <c r="AK75" s="24">
        <v>7.7750000000000004</v>
      </c>
      <c r="AL75" s="24">
        <v>4.641</v>
      </c>
      <c r="AM75" s="24">
        <v>9.2420000000000009</v>
      </c>
    </row>
    <row r="76" spans="1:39" x14ac:dyDescent="0.2">
      <c r="A76" s="24">
        <v>18.488</v>
      </c>
      <c r="S76" s="1"/>
      <c r="AD76" s="24">
        <v>9.8559999999999999</v>
      </c>
      <c r="AE76" s="24">
        <v>8.3320000000000007</v>
      </c>
      <c r="AF76" s="24">
        <v>18.488</v>
      </c>
      <c r="AG76" s="24">
        <v>5.9779999999999998</v>
      </c>
      <c r="AH76" s="24">
        <v>23.256</v>
      </c>
      <c r="AI76" s="24">
        <v>6.298</v>
      </c>
      <c r="AJ76" s="24">
        <v>7.7750000000000004</v>
      </c>
      <c r="AK76" s="24">
        <v>4.641</v>
      </c>
      <c r="AL76" s="24">
        <v>9.2420000000000009</v>
      </c>
      <c r="AM76" s="24">
        <v>9.9779999999999998</v>
      </c>
    </row>
    <row r="77" spans="1:39" x14ac:dyDescent="0.2">
      <c r="A77" s="24">
        <v>5.9779999999999998</v>
      </c>
      <c r="S77" s="1"/>
      <c r="AD77" s="24">
        <v>8.3320000000000007</v>
      </c>
      <c r="AE77" s="24">
        <v>18.488</v>
      </c>
      <c r="AF77" s="24">
        <v>5.9779999999999998</v>
      </c>
      <c r="AG77" s="24">
        <v>23.256</v>
      </c>
      <c r="AH77" s="24">
        <v>6.298</v>
      </c>
      <c r="AI77" s="24">
        <v>7.7750000000000004</v>
      </c>
      <c r="AJ77" s="24">
        <v>4.641</v>
      </c>
      <c r="AK77" s="24">
        <v>9.2420000000000009</v>
      </c>
      <c r="AL77" s="24">
        <v>9.9779999999999998</v>
      </c>
      <c r="AM77" s="24">
        <v>7.8490000000000002</v>
      </c>
    </row>
    <row r="78" spans="1:39" x14ac:dyDescent="0.2">
      <c r="A78" s="24">
        <v>23.256</v>
      </c>
      <c r="S78" s="1"/>
      <c r="AD78" s="24">
        <v>18.488</v>
      </c>
      <c r="AE78" s="24">
        <v>5.9779999999999998</v>
      </c>
      <c r="AF78" s="24">
        <v>23.256</v>
      </c>
      <c r="AG78" s="24">
        <v>6.298</v>
      </c>
      <c r="AH78" s="24">
        <v>7.7750000000000004</v>
      </c>
      <c r="AI78" s="24">
        <v>4.641</v>
      </c>
      <c r="AJ78" s="24">
        <v>9.2420000000000009</v>
      </c>
      <c r="AK78" s="24">
        <v>9.9779999999999998</v>
      </c>
      <c r="AL78" s="24">
        <v>7.8490000000000002</v>
      </c>
      <c r="AM78" s="24">
        <v>4.7270000000000003</v>
      </c>
    </row>
    <row r="79" spans="1:39" x14ac:dyDescent="0.2">
      <c r="A79" s="24">
        <v>6.298</v>
      </c>
      <c r="S79" s="1"/>
      <c r="AD79" s="24">
        <v>5.9779999999999998</v>
      </c>
      <c r="AE79" s="24">
        <v>23.256</v>
      </c>
      <c r="AF79" s="24">
        <v>6.298</v>
      </c>
      <c r="AG79" s="24">
        <v>7.7750000000000004</v>
      </c>
      <c r="AH79" s="24">
        <v>4.641</v>
      </c>
      <c r="AI79" s="24">
        <v>9.2420000000000009</v>
      </c>
      <c r="AJ79" s="24">
        <v>9.9779999999999998</v>
      </c>
      <c r="AK79" s="24">
        <v>7.8490000000000002</v>
      </c>
      <c r="AL79" s="24">
        <v>4.7270000000000003</v>
      </c>
      <c r="AM79" s="24">
        <v>9.4049999999999994</v>
      </c>
    </row>
    <row r="80" spans="1:39" x14ac:dyDescent="0.2">
      <c r="A80" s="24">
        <v>7.7750000000000004</v>
      </c>
      <c r="S80" s="1"/>
      <c r="AD80" s="24">
        <v>23.256</v>
      </c>
      <c r="AE80" s="24">
        <v>6.298</v>
      </c>
      <c r="AF80" s="24">
        <v>7.7750000000000004</v>
      </c>
      <c r="AG80" s="24">
        <v>4.641</v>
      </c>
      <c r="AH80" s="24">
        <v>9.2420000000000009</v>
      </c>
      <c r="AI80" s="24">
        <v>9.9779999999999998</v>
      </c>
      <c r="AJ80" s="24">
        <v>7.8490000000000002</v>
      </c>
      <c r="AK80" s="24">
        <v>4.7270000000000003</v>
      </c>
      <c r="AL80" s="24">
        <v>9.4049999999999994</v>
      </c>
      <c r="AM80" s="24">
        <v>8.0449999999999999</v>
      </c>
    </row>
    <row r="81" spans="1:39" x14ac:dyDescent="0.2">
      <c r="A81" s="24">
        <v>4.641</v>
      </c>
      <c r="S81" s="1"/>
      <c r="AD81" s="24">
        <v>6.298</v>
      </c>
      <c r="AE81" s="24">
        <v>7.7750000000000004</v>
      </c>
      <c r="AF81" s="24">
        <v>4.641</v>
      </c>
      <c r="AG81" s="24">
        <v>9.2420000000000009</v>
      </c>
      <c r="AH81" s="24">
        <v>9.9779999999999998</v>
      </c>
      <c r="AI81" s="24">
        <v>7.8490000000000002</v>
      </c>
      <c r="AJ81" s="24">
        <v>4.7270000000000003</v>
      </c>
      <c r="AK81" s="24">
        <v>9.4049999999999994</v>
      </c>
      <c r="AL81" s="24">
        <v>8.0449999999999999</v>
      </c>
      <c r="AM81" s="24">
        <v>6.4109999999999996</v>
      </c>
    </row>
    <row r="82" spans="1:39" x14ac:dyDescent="0.2">
      <c r="A82" s="24">
        <v>9.2420000000000009</v>
      </c>
      <c r="S82" s="1"/>
      <c r="AD82" s="24">
        <v>7.7750000000000004</v>
      </c>
      <c r="AE82" s="24">
        <v>4.641</v>
      </c>
      <c r="AF82" s="24">
        <v>9.2420000000000009</v>
      </c>
      <c r="AG82" s="24">
        <v>9.9779999999999998</v>
      </c>
      <c r="AH82" s="24">
        <v>7.8490000000000002</v>
      </c>
      <c r="AI82" s="24">
        <v>4.7270000000000003</v>
      </c>
      <c r="AJ82" s="24">
        <v>9.4049999999999994</v>
      </c>
      <c r="AK82" s="24">
        <v>8.0449999999999999</v>
      </c>
      <c r="AL82" s="24">
        <v>6.4109999999999996</v>
      </c>
      <c r="AM82" s="24">
        <v>128.553</v>
      </c>
    </row>
    <row r="83" spans="1:39" x14ac:dyDescent="0.2">
      <c r="A83" s="24">
        <v>9.9779999999999998</v>
      </c>
      <c r="S83" s="1"/>
      <c r="AD83" s="24">
        <v>4.641</v>
      </c>
      <c r="AE83" s="24">
        <v>9.2420000000000009</v>
      </c>
      <c r="AF83" s="24">
        <v>9.9779999999999998</v>
      </c>
      <c r="AG83" s="24">
        <v>7.8490000000000002</v>
      </c>
      <c r="AH83" s="24">
        <v>4.7270000000000003</v>
      </c>
      <c r="AI83" s="24">
        <v>9.4049999999999994</v>
      </c>
      <c r="AJ83" s="24">
        <v>8.0449999999999999</v>
      </c>
      <c r="AK83" s="24">
        <v>6.4109999999999996</v>
      </c>
      <c r="AL83" s="24">
        <v>128.553</v>
      </c>
      <c r="AM83" s="24">
        <v>17.262</v>
      </c>
    </row>
    <row r="84" spans="1:39" x14ac:dyDescent="0.2">
      <c r="A84" s="24">
        <v>7.8490000000000002</v>
      </c>
      <c r="S84" s="1"/>
      <c r="AD84" s="24">
        <v>9.2420000000000009</v>
      </c>
      <c r="AE84" s="24">
        <v>9.9779999999999998</v>
      </c>
      <c r="AF84" s="24">
        <v>7.8490000000000002</v>
      </c>
      <c r="AG84" s="24">
        <v>4.7270000000000003</v>
      </c>
      <c r="AH84" s="24">
        <v>9.4049999999999994</v>
      </c>
      <c r="AI84" s="24">
        <v>8.0449999999999999</v>
      </c>
      <c r="AJ84" s="24">
        <v>6.4109999999999996</v>
      </c>
      <c r="AK84" s="24">
        <v>128.553</v>
      </c>
      <c r="AL84" s="24">
        <v>17.262</v>
      </c>
      <c r="AM84" s="24">
        <v>5.367</v>
      </c>
    </row>
    <row r="85" spans="1:39" x14ac:dyDescent="0.2">
      <c r="A85" s="24">
        <v>4.7270000000000003</v>
      </c>
      <c r="S85" s="1"/>
      <c r="AD85" s="24">
        <v>9.9779999999999998</v>
      </c>
      <c r="AE85" s="24">
        <v>7.8490000000000002</v>
      </c>
      <c r="AF85" s="24">
        <v>4.7270000000000003</v>
      </c>
      <c r="AG85" s="24">
        <v>9.4049999999999994</v>
      </c>
      <c r="AH85" s="24">
        <v>8.0449999999999999</v>
      </c>
      <c r="AI85" s="24">
        <v>6.4109999999999996</v>
      </c>
      <c r="AJ85" s="24">
        <v>128.553</v>
      </c>
      <c r="AK85" s="24">
        <v>17.262</v>
      </c>
      <c r="AL85" s="24">
        <v>5.367</v>
      </c>
      <c r="AM85" s="24">
        <v>6.0659999999999998</v>
      </c>
    </row>
    <row r="86" spans="1:39" x14ac:dyDescent="0.2">
      <c r="A86" s="24">
        <v>9.4049999999999994</v>
      </c>
      <c r="S86" s="1"/>
      <c r="AD86" s="24">
        <v>7.8490000000000002</v>
      </c>
      <c r="AE86" s="24">
        <v>4.7270000000000003</v>
      </c>
      <c r="AF86" s="24">
        <v>9.4049999999999994</v>
      </c>
      <c r="AG86" s="24">
        <v>8.0449999999999999</v>
      </c>
      <c r="AH86" s="24">
        <v>6.4109999999999996</v>
      </c>
      <c r="AI86" s="24">
        <v>128.553</v>
      </c>
      <c r="AJ86" s="24">
        <v>17.262</v>
      </c>
      <c r="AK86" s="24">
        <v>5.367</v>
      </c>
      <c r="AL86" s="24">
        <v>6.0659999999999998</v>
      </c>
      <c r="AM86" s="24">
        <v>5.2649999999999997</v>
      </c>
    </row>
    <row r="87" spans="1:39" x14ac:dyDescent="0.2">
      <c r="A87" s="24">
        <v>8.0449999999999999</v>
      </c>
      <c r="S87" s="1"/>
      <c r="AD87" s="24">
        <v>4.7270000000000003</v>
      </c>
      <c r="AE87" s="24">
        <v>9.4049999999999994</v>
      </c>
      <c r="AF87" s="24">
        <v>8.0449999999999999</v>
      </c>
      <c r="AG87" s="24">
        <v>6.4109999999999996</v>
      </c>
      <c r="AH87" s="24">
        <v>128.553</v>
      </c>
      <c r="AI87" s="24">
        <v>17.262</v>
      </c>
      <c r="AJ87" s="24">
        <v>5.367</v>
      </c>
      <c r="AK87" s="24">
        <v>6.0659999999999998</v>
      </c>
      <c r="AL87" s="24">
        <v>5.2649999999999997</v>
      </c>
      <c r="AM87" s="24">
        <v>4.6349999999999998</v>
      </c>
    </row>
    <row r="88" spans="1:39" x14ac:dyDescent="0.2">
      <c r="A88" s="24">
        <v>6.4109999999999996</v>
      </c>
      <c r="S88" s="1"/>
      <c r="AD88" s="24">
        <v>9.4049999999999994</v>
      </c>
      <c r="AE88" s="24">
        <v>8.0449999999999999</v>
      </c>
      <c r="AF88" s="24">
        <v>6.4109999999999996</v>
      </c>
      <c r="AG88" s="24">
        <v>128.553</v>
      </c>
      <c r="AH88" s="24">
        <v>17.262</v>
      </c>
      <c r="AI88" s="24">
        <v>5.367</v>
      </c>
      <c r="AJ88" s="24">
        <v>6.0659999999999998</v>
      </c>
      <c r="AK88" s="24">
        <v>5.2649999999999997</v>
      </c>
      <c r="AL88" s="24">
        <v>4.6349999999999998</v>
      </c>
      <c r="AM88" s="24">
        <v>7.1159999999999997</v>
      </c>
    </row>
    <row r="89" spans="1:39" x14ac:dyDescent="0.2">
      <c r="A89" s="24">
        <v>128.553</v>
      </c>
      <c r="S89" s="1"/>
      <c r="AD89" s="24">
        <v>8.0449999999999999</v>
      </c>
      <c r="AE89" s="24">
        <v>6.4109999999999996</v>
      </c>
      <c r="AF89" s="24">
        <v>128.553</v>
      </c>
      <c r="AG89" s="24">
        <v>17.262</v>
      </c>
      <c r="AH89" s="24">
        <v>5.367</v>
      </c>
      <c r="AI89" s="24">
        <v>6.0659999999999998</v>
      </c>
      <c r="AJ89" s="24">
        <v>5.2649999999999997</v>
      </c>
      <c r="AK89" s="24">
        <v>4.6349999999999998</v>
      </c>
      <c r="AL89" s="24">
        <v>7.1159999999999997</v>
      </c>
      <c r="AM89" s="24">
        <v>181.25200000000001</v>
      </c>
    </row>
    <row r="90" spans="1:39" x14ac:dyDescent="0.2">
      <c r="A90" s="24">
        <v>17.262</v>
      </c>
      <c r="S90" s="1"/>
      <c r="AD90" s="24">
        <v>6.4109999999999996</v>
      </c>
      <c r="AE90" s="24">
        <v>128.553</v>
      </c>
      <c r="AF90" s="24">
        <v>17.262</v>
      </c>
      <c r="AG90" s="24">
        <v>5.367</v>
      </c>
      <c r="AH90" s="24">
        <v>6.0659999999999998</v>
      </c>
      <c r="AI90" s="24">
        <v>5.2649999999999997</v>
      </c>
      <c r="AJ90" s="24">
        <v>4.6349999999999998</v>
      </c>
      <c r="AK90" s="24">
        <v>7.1159999999999997</v>
      </c>
      <c r="AL90" s="24">
        <v>181.25200000000001</v>
      </c>
      <c r="AM90" s="24">
        <v>4.8719999999999999</v>
      </c>
    </row>
    <row r="91" spans="1:39" x14ac:dyDescent="0.2">
      <c r="A91" s="24">
        <v>5.367</v>
      </c>
      <c r="S91" s="1"/>
      <c r="AD91" s="24">
        <v>128.553</v>
      </c>
      <c r="AE91" s="24">
        <v>17.262</v>
      </c>
      <c r="AF91" s="24">
        <v>5.367</v>
      </c>
      <c r="AG91" s="24">
        <v>6.0659999999999998</v>
      </c>
      <c r="AH91" s="24">
        <v>5.2649999999999997</v>
      </c>
      <c r="AI91" s="24">
        <v>4.6349999999999998</v>
      </c>
      <c r="AJ91" s="24">
        <v>7.1159999999999997</v>
      </c>
      <c r="AK91" s="24">
        <v>181.25200000000001</v>
      </c>
      <c r="AL91" s="24">
        <v>4.8719999999999999</v>
      </c>
      <c r="AM91" s="24">
        <v>7.6139999999999999</v>
      </c>
    </row>
    <row r="92" spans="1:39" x14ac:dyDescent="0.2">
      <c r="A92" s="24">
        <v>6.0659999999999998</v>
      </c>
      <c r="S92" s="1"/>
      <c r="AD92" s="24">
        <v>17.262</v>
      </c>
      <c r="AE92" s="24">
        <v>5.367</v>
      </c>
      <c r="AF92" s="24">
        <v>6.0659999999999998</v>
      </c>
      <c r="AG92" s="24">
        <v>5.2649999999999997</v>
      </c>
      <c r="AH92" s="24">
        <v>4.6349999999999998</v>
      </c>
      <c r="AI92" s="24">
        <v>7.1159999999999997</v>
      </c>
      <c r="AJ92" s="24">
        <v>181.25200000000001</v>
      </c>
      <c r="AK92" s="24">
        <v>4.8719999999999999</v>
      </c>
      <c r="AL92" s="24">
        <v>7.6139999999999999</v>
      </c>
      <c r="AM92" s="24">
        <v>4.6689999999999996</v>
      </c>
    </row>
    <row r="93" spans="1:39" x14ac:dyDescent="0.2">
      <c r="A93" s="24">
        <v>5.2649999999999997</v>
      </c>
      <c r="S93" s="1"/>
      <c r="AD93" s="24">
        <v>5.367</v>
      </c>
      <c r="AE93" s="24">
        <v>6.0659999999999998</v>
      </c>
      <c r="AF93" s="24">
        <v>5.2649999999999997</v>
      </c>
      <c r="AG93" s="24">
        <v>4.6349999999999998</v>
      </c>
      <c r="AH93" s="24">
        <v>7.1159999999999997</v>
      </c>
      <c r="AI93" s="24">
        <v>181.25200000000001</v>
      </c>
      <c r="AJ93" s="24">
        <v>4.8719999999999999</v>
      </c>
      <c r="AK93" s="24">
        <v>7.6139999999999999</v>
      </c>
      <c r="AL93" s="24">
        <v>4.6689999999999996</v>
      </c>
      <c r="AM93" s="24">
        <v>4.74</v>
      </c>
    </row>
    <row r="94" spans="1:39" x14ac:dyDescent="0.2">
      <c r="A94" s="24">
        <v>4.6349999999999998</v>
      </c>
      <c r="S94" s="1"/>
      <c r="AD94" s="24">
        <v>6.0659999999999998</v>
      </c>
      <c r="AE94" s="24">
        <v>5.2649999999999997</v>
      </c>
      <c r="AF94" s="24">
        <v>4.6349999999999998</v>
      </c>
      <c r="AG94" s="24">
        <v>7.1159999999999997</v>
      </c>
      <c r="AH94" s="24">
        <v>181.25200000000001</v>
      </c>
      <c r="AI94" s="24">
        <v>4.8719999999999999</v>
      </c>
      <c r="AJ94" s="24">
        <v>7.6139999999999999</v>
      </c>
      <c r="AK94" s="24">
        <v>4.6689999999999996</v>
      </c>
      <c r="AL94" s="24">
        <v>4.74</v>
      </c>
      <c r="AM94" s="24">
        <v>8.6319999999999997</v>
      </c>
    </row>
    <row r="95" spans="1:39" x14ac:dyDescent="0.2">
      <c r="A95" s="24">
        <v>7.1159999999999997</v>
      </c>
      <c r="S95" s="1"/>
      <c r="AD95" s="24">
        <v>5.2649999999999997</v>
      </c>
      <c r="AE95" s="24">
        <v>4.6349999999999998</v>
      </c>
      <c r="AF95" s="24">
        <v>7.1159999999999997</v>
      </c>
      <c r="AG95" s="24">
        <v>181.25200000000001</v>
      </c>
      <c r="AH95" s="24">
        <v>4.8719999999999999</v>
      </c>
      <c r="AI95" s="24">
        <v>7.6139999999999999</v>
      </c>
      <c r="AJ95" s="24">
        <v>4.6689999999999996</v>
      </c>
      <c r="AK95" s="24">
        <v>4.74</v>
      </c>
      <c r="AL95" s="24">
        <v>8.6319999999999997</v>
      </c>
      <c r="AM95" s="24">
        <v>6.2539999999999996</v>
      </c>
    </row>
    <row r="96" spans="1:39" x14ac:dyDescent="0.2">
      <c r="A96" s="24">
        <v>181.25200000000001</v>
      </c>
      <c r="S96" s="1"/>
      <c r="AD96" s="24">
        <v>4.6349999999999998</v>
      </c>
      <c r="AE96" s="24">
        <v>7.1159999999999997</v>
      </c>
      <c r="AF96" s="24">
        <v>181.25200000000001</v>
      </c>
      <c r="AG96" s="24">
        <v>4.8719999999999999</v>
      </c>
      <c r="AH96" s="24">
        <v>7.6139999999999999</v>
      </c>
      <c r="AI96" s="24">
        <v>4.6689999999999996</v>
      </c>
      <c r="AJ96" s="24">
        <v>4.74</v>
      </c>
      <c r="AK96" s="24">
        <v>8.6319999999999997</v>
      </c>
      <c r="AL96" s="24">
        <v>6.2539999999999996</v>
      </c>
      <c r="AM96" s="24">
        <v>7.3310000000000004</v>
      </c>
    </row>
    <row r="97" spans="1:39" x14ac:dyDescent="0.2">
      <c r="A97" s="24">
        <v>4.8719999999999999</v>
      </c>
      <c r="S97" s="1"/>
      <c r="AD97" s="24">
        <v>7.1159999999999997</v>
      </c>
      <c r="AE97" s="24">
        <v>181.25200000000001</v>
      </c>
      <c r="AF97" s="24">
        <v>4.8719999999999999</v>
      </c>
      <c r="AG97" s="24">
        <v>7.6139999999999999</v>
      </c>
      <c r="AH97" s="24">
        <v>4.6689999999999996</v>
      </c>
      <c r="AI97" s="24">
        <v>4.74</v>
      </c>
      <c r="AJ97" s="24">
        <v>8.6319999999999997</v>
      </c>
      <c r="AK97" s="24">
        <v>6.2539999999999996</v>
      </c>
      <c r="AL97" s="24">
        <v>7.3310000000000004</v>
      </c>
      <c r="AM97" s="24">
        <v>5.1429999999999998</v>
      </c>
    </row>
    <row r="98" spans="1:39" x14ac:dyDescent="0.2">
      <c r="A98" s="24">
        <v>7.6139999999999999</v>
      </c>
      <c r="S98" s="1"/>
      <c r="AD98" s="24">
        <v>181.25200000000001</v>
      </c>
      <c r="AE98" s="24">
        <v>4.8719999999999999</v>
      </c>
      <c r="AF98" s="24">
        <v>7.6139999999999999</v>
      </c>
      <c r="AG98" s="24">
        <v>4.6689999999999996</v>
      </c>
      <c r="AH98" s="24">
        <v>4.74</v>
      </c>
      <c r="AI98" s="24">
        <v>8.6319999999999997</v>
      </c>
      <c r="AJ98" s="24">
        <v>6.2539999999999996</v>
      </c>
      <c r="AK98" s="24">
        <v>7.3310000000000004</v>
      </c>
      <c r="AL98" s="24">
        <v>5.1429999999999998</v>
      </c>
      <c r="AM98" s="24">
        <v>105.455</v>
      </c>
    </row>
    <row r="99" spans="1:39" x14ac:dyDescent="0.2">
      <c r="A99" s="24">
        <v>4.6689999999999996</v>
      </c>
      <c r="S99" s="1"/>
      <c r="AD99" s="24">
        <v>4.8719999999999999</v>
      </c>
      <c r="AE99" s="24">
        <v>7.6139999999999999</v>
      </c>
      <c r="AF99" s="24">
        <v>4.6689999999999996</v>
      </c>
      <c r="AG99" s="24">
        <v>4.74</v>
      </c>
      <c r="AH99" s="24">
        <v>8.6319999999999997</v>
      </c>
      <c r="AI99" s="24">
        <v>6.2539999999999996</v>
      </c>
      <c r="AJ99" s="24">
        <v>7.3310000000000004</v>
      </c>
      <c r="AK99" s="24">
        <v>5.1429999999999998</v>
      </c>
      <c r="AL99" s="24">
        <v>105.455</v>
      </c>
      <c r="AM99" s="24">
        <v>100.11</v>
      </c>
    </row>
    <row r="100" spans="1:39" x14ac:dyDescent="0.2">
      <c r="A100" s="24">
        <v>4.74</v>
      </c>
      <c r="S100" s="1"/>
      <c r="AD100" s="24">
        <v>7.6139999999999999</v>
      </c>
      <c r="AE100" s="24">
        <v>4.6689999999999996</v>
      </c>
      <c r="AF100" s="24">
        <v>4.74</v>
      </c>
      <c r="AG100" s="24">
        <v>8.6319999999999997</v>
      </c>
      <c r="AH100" s="24">
        <v>6.2539999999999996</v>
      </c>
      <c r="AI100" s="24">
        <v>7.3310000000000004</v>
      </c>
      <c r="AJ100" s="24">
        <v>5.1429999999999998</v>
      </c>
      <c r="AK100" s="24">
        <v>105.455</v>
      </c>
      <c r="AL100" s="24">
        <v>100.11</v>
      </c>
      <c r="AM100" s="24">
        <v>8.0830000000000002</v>
      </c>
    </row>
    <row r="101" spans="1:39" x14ac:dyDescent="0.2">
      <c r="A101" s="24">
        <v>8.6319999999999997</v>
      </c>
      <c r="S101" s="1"/>
      <c r="AD101" s="24">
        <v>4.6689999999999996</v>
      </c>
      <c r="AE101" s="24">
        <v>4.74</v>
      </c>
      <c r="AF101" s="24">
        <v>8.6319999999999997</v>
      </c>
      <c r="AG101" s="24">
        <v>6.2539999999999996</v>
      </c>
      <c r="AH101" s="24">
        <v>7.3310000000000004</v>
      </c>
      <c r="AI101" s="24">
        <v>5.1429999999999998</v>
      </c>
      <c r="AJ101" s="24">
        <v>105.455</v>
      </c>
      <c r="AK101" s="24">
        <v>100.11</v>
      </c>
      <c r="AL101" s="24">
        <v>8.0830000000000002</v>
      </c>
      <c r="AM101" s="24">
        <v>8.43</v>
      </c>
    </row>
    <row r="102" spans="1:39" x14ac:dyDescent="0.2">
      <c r="A102" s="24">
        <v>6.2539999999999996</v>
      </c>
      <c r="S102" s="1"/>
      <c r="AD102" s="24">
        <v>4.74</v>
      </c>
      <c r="AE102" s="24">
        <v>8.6319999999999997</v>
      </c>
      <c r="AF102" s="24">
        <v>6.2539999999999996</v>
      </c>
      <c r="AG102" s="24">
        <v>7.3310000000000004</v>
      </c>
      <c r="AH102" s="24">
        <v>5.1429999999999998</v>
      </c>
      <c r="AI102" s="24">
        <v>105.455</v>
      </c>
      <c r="AJ102" s="24">
        <v>100.11</v>
      </c>
      <c r="AK102" s="24">
        <v>8.0830000000000002</v>
      </c>
      <c r="AL102" s="24">
        <v>8.43</v>
      </c>
      <c r="AM102" s="24">
        <v>41.194000000000003</v>
      </c>
    </row>
    <row r="103" spans="1:39" x14ac:dyDescent="0.2">
      <c r="A103" s="24">
        <v>7.3310000000000004</v>
      </c>
      <c r="S103" s="1"/>
      <c r="AD103" s="24">
        <v>8.6319999999999997</v>
      </c>
      <c r="AE103" s="24">
        <v>6.2539999999999996</v>
      </c>
      <c r="AF103" s="24">
        <v>7.3310000000000004</v>
      </c>
      <c r="AG103" s="24">
        <v>5.1429999999999998</v>
      </c>
      <c r="AH103" s="24">
        <v>105.455</v>
      </c>
      <c r="AI103" s="24">
        <v>100.11</v>
      </c>
      <c r="AJ103" s="24">
        <v>8.0830000000000002</v>
      </c>
      <c r="AK103" s="24">
        <v>8.43</v>
      </c>
      <c r="AL103" s="24">
        <v>41.194000000000003</v>
      </c>
      <c r="AM103" s="24">
        <v>7.3410000000000002</v>
      </c>
    </row>
    <row r="104" spans="1:39" x14ac:dyDescent="0.2">
      <c r="A104" s="24">
        <v>5.1429999999999998</v>
      </c>
      <c r="S104" s="1"/>
      <c r="AD104" s="24">
        <v>6.2539999999999996</v>
      </c>
      <c r="AE104" s="24">
        <v>7.3310000000000004</v>
      </c>
      <c r="AF104" s="24">
        <v>5.1429999999999998</v>
      </c>
      <c r="AG104" s="24">
        <v>105.455</v>
      </c>
      <c r="AH104" s="24">
        <v>100.11</v>
      </c>
      <c r="AI104" s="24">
        <v>8.0830000000000002</v>
      </c>
      <c r="AJ104" s="24">
        <v>8.43</v>
      </c>
      <c r="AK104" s="24">
        <v>41.194000000000003</v>
      </c>
      <c r="AL104" s="24">
        <v>7.3410000000000002</v>
      </c>
      <c r="AM104" s="24">
        <v>5.6779999999999999</v>
      </c>
    </row>
    <row r="105" spans="1:39" x14ac:dyDescent="0.2">
      <c r="A105" s="24">
        <v>105.455</v>
      </c>
      <c r="S105" s="1"/>
      <c r="AD105" s="24">
        <v>7.3310000000000004</v>
      </c>
      <c r="AE105" s="24">
        <v>5.1429999999999998</v>
      </c>
      <c r="AF105" s="24">
        <v>105.455</v>
      </c>
      <c r="AG105" s="24">
        <v>100.11</v>
      </c>
      <c r="AH105" s="24">
        <v>8.0830000000000002</v>
      </c>
      <c r="AI105" s="24">
        <v>8.43</v>
      </c>
      <c r="AJ105" s="24">
        <v>41.194000000000003</v>
      </c>
      <c r="AK105" s="24">
        <v>7.3410000000000002</v>
      </c>
      <c r="AL105" s="24">
        <v>5.6779999999999999</v>
      </c>
      <c r="AM105" s="24">
        <v>8.859</v>
      </c>
    </row>
    <row r="106" spans="1:39" x14ac:dyDescent="0.2">
      <c r="A106" s="24">
        <v>100.11</v>
      </c>
      <c r="S106" s="1"/>
      <c r="AD106" s="24">
        <v>5.1429999999999998</v>
      </c>
      <c r="AE106" s="24">
        <v>105.455</v>
      </c>
      <c r="AF106" s="24">
        <v>100.11</v>
      </c>
      <c r="AG106" s="24">
        <v>8.0830000000000002</v>
      </c>
      <c r="AH106" s="24">
        <v>8.43</v>
      </c>
      <c r="AI106" s="24">
        <v>41.194000000000003</v>
      </c>
      <c r="AJ106" s="24">
        <v>7.3410000000000002</v>
      </c>
      <c r="AK106" s="24">
        <v>5.6779999999999999</v>
      </c>
      <c r="AL106" s="24">
        <v>8.859</v>
      </c>
      <c r="AM106" s="24">
        <v>9.4019999999999992</v>
      </c>
    </row>
    <row r="107" spans="1:39" x14ac:dyDescent="0.2">
      <c r="A107" s="24">
        <v>8.0830000000000002</v>
      </c>
      <c r="S107" s="1"/>
      <c r="AD107" s="24">
        <v>105.455</v>
      </c>
      <c r="AE107" s="24">
        <v>100.11</v>
      </c>
      <c r="AF107" s="24">
        <v>8.0830000000000002</v>
      </c>
      <c r="AG107" s="24">
        <v>8.43</v>
      </c>
      <c r="AH107" s="24">
        <v>41.194000000000003</v>
      </c>
      <c r="AI107" s="24">
        <v>7.3410000000000002</v>
      </c>
      <c r="AJ107" s="24">
        <v>5.6779999999999999</v>
      </c>
      <c r="AK107" s="24">
        <v>8.859</v>
      </c>
      <c r="AL107" s="24">
        <v>9.4019999999999992</v>
      </c>
      <c r="AM107" s="24">
        <v>17.835000000000001</v>
      </c>
    </row>
    <row r="108" spans="1:39" x14ac:dyDescent="0.2">
      <c r="A108" s="24">
        <v>8.43</v>
      </c>
      <c r="S108" s="1"/>
      <c r="AD108" s="24">
        <v>100.11</v>
      </c>
      <c r="AE108" s="24">
        <v>8.0830000000000002</v>
      </c>
      <c r="AF108" s="24">
        <v>8.43</v>
      </c>
      <c r="AG108" s="24">
        <v>41.194000000000003</v>
      </c>
      <c r="AH108" s="24">
        <v>7.3410000000000002</v>
      </c>
      <c r="AI108" s="24">
        <v>5.6779999999999999</v>
      </c>
      <c r="AJ108" s="24">
        <v>8.859</v>
      </c>
      <c r="AK108" s="24">
        <v>9.4019999999999992</v>
      </c>
      <c r="AL108" s="24">
        <v>17.835000000000001</v>
      </c>
      <c r="AM108" s="24">
        <v>6.4870000000000001</v>
      </c>
    </row>
    <row r="109" spans="1:39" x14ac:dyDescent="0.2">
      <c r="A109" s="24">
        <v>41.194000000000003</v>
      </c>
      <c r="S109" s="1"/>
      <c r="AD109" s="24">
        <v>8.0830000000000002</v>
      </c>
      <c r="AE109" s="24">
        <v>8.43</v>
      </c>
      <c r="AF109" s="24">
        <v>41.194000000000003</v>
      </c>
      <c r="AG109" s="24">
        <v>7.3410000000000002</v>
      </c>
      <c r="AH109" s="24">
        <v>5.6779999999999999</v>
      </c>
      <c r="AI109" s="24">
        <v>8.859</v>
      </c>
      <c r="AJ109" s="24">
        <v>9.4019999999999992</v>
      </c>
      <c r="AK109" s="24">
        <v>17.835000000000001</v>
      </c>
      <c r="AL109" s="24">
        <v>6.4870000000000001</v>
      </c>
      <c r="AM109" s="24">
        <v>6.02</v>
      </c>
    </row>
    <row r="110" spans="1:39" x14ac:dyDescent="0.2">
      <c r="A110" s="24">
        <v>7.3410000000000002</v>
      </c>
      <c r="S110" s="1"/>
      <c r="AD110" s="24">
        <v>8.43</v>
      </c>
      <c r="AE110" s="24">
        <v>41.194000000000003</v>
      </c>
      <c r="AF110" s="24">
        <v>7.3410000000000002</v>
      </c>
      <c r="AG110" s="24">
        <v>5.6779999999999999</v>
      </c>
      <c r="AH110" s="24">
        <v>8.859</v>
      </c>
      <c r="AI110" s="24">
        <v>9.4019999999999992</v>
      </c>
      <c r="AJ110" s="24">
        <v>17.835000000000001</v>
      </c>
      <c r="AK110" s="24">
        <v>6.4870000000000001</v>
      </c>
      <c r="AL110" s="24">
        <v>6.02</v>
      </c>
      <c r="AM110" s="24">
        <v>8.2059999999999995</v>
      </c>
    </row>
    <row r="111" spans="1:39" x14ac:dyDescent="0.2">
      <c r="A111" s="24">
        <v>5.6779999999999999</v>
      </c>
      <c r="S111" s="1"/>
      <c r="AD111" s="24">
        <v>41.194000000000003</v>
      </c>
      <c r="AE111" s="24">
        <v>7.3410000000000002</v>
      </c>
      <c r="AF111" s="24">
        <v>5.6779999999999999</v>
      </c>
      <c r="AG111" s="24">
        <v>8.859</v>
      </c>
      <c r="AH111" s="24">
        <v>9.4019999999999992</v>
      </c>
      <c r="AI111" s="24">
        <v>17.835000000000001</v>
      </c>
      <c r="AJ111" s="24">
        <v>6.4870000000000001</v>
      </c>
      <c r="AK111" s="24">
        <v>6.02</v>
      </c>
      <c r="AL111" s="24">
        <v>8.2059999999999995</v>
      </c>
      <c r="AM111" s="24">
        <v>9.0289999999999999</v>
      </c>
    </row>
    <row r="112" spans="1:39" x14ac:dyDescent="0.2">
      <c r="A112" s="24">
        <v>8.859</v>
      </c>
      <c r="S112" s="1"/>
      <c r="AD112" s="24">
        <v>7.3410000000000002</v>
      </c>
      <c r="AE112" s="24">
        <v>5.6779999999999999</v>
      </c>
      <c r="AF112" s="24">
        <v>8.859</v>
      </c>
      <c r="AG112" s="24">
        <v>9.4019999999999992</v>
      </c>
      <c r="AH112" s="24">
        <v>17.835000000000001</v>
      </c>
      <c r="AI112" s="24">
        <v>6.4870000000000001</v>
      </c>
      <c r="AJ112" s="24">
        <v>6.02</v>
      </c>
      <c r="AK112" s="24">
        <v>8.2059999999999995</v>
      </c>
      <c r="AL112" s="24">
        <v>9.0289999999999999</v>
      </c>
      <c r="AM112" s="24">
        <v>4.8780000000000001</v>
      </c>
    </row>
    <row r="113" spans="1:39" x14ac:dyDescent="0.2">
      <c r="A113" s="24">
        <v>9.4019999999999992</v>
      </c>
      <c r="S113" s="1"/>
      <c r="AD113" s="24">
        <v>5.6779999999999999</v>
      </c>
      <c r="AE113" s="24">
        <v>8.859</v>
      </c>
      <c r="AF113" s="24">
        <v>9.4019999999999992</v>
      </c>
      <c r="AG113" s="24">
        <v>17.835000000000001</v>
      </c>
      <c r="AH113" s="24">
        <v>6.4870000000000001</v>
      </c>
      <c r="AI113" s="24">
        <v>6.02</v>
      </c>
      <c r="AJ113" s="24">
        <v>8.2059999999999995</v>
      </c>
      <c r="AK113" s="24">
        <v>9.0289999999999999</v>
      </c>
      <c r="AL113" s="24">
        <v>4.8780000000000001</v>
      </c>
      <c r="AM113" s="24">
        <v>5.6379999999999999</v>
      </c>
    </row>
    <row r="114" spans="1:39" x14ac:dyDescent="0.2">
      <c r="A114" s="24">
        <v>17.835000000000001</v>
      </c>
      <c r="S114" s="1"/>
      <c r="AD114" s="24">
        <v>8.859</v>
      </c>
      <c r="AE114" s="24">
        <v>9.4019999999999992</v>
      </c>
      <c r="AF114" s="24">
        <v>17.835000000000001</v>
      </c>
      <c r="AG114" s="24">
        <v>6.4870000000000001</v>
      </c>
      <c r="AH114" s="24">
        <v>6.02</v>
      </c>
      <c r="AI114" s="24">
        <v>8.2059999999999995</v>
      </c>
      <c r="AJ114" s="24">
        <v>9.0289999999999999</v>
      </c>
      <c r="AK114" s="24">
        <v>4.8780000000000001</v>
      </c>
      <c r="AL114" s="24">
        <v>5.6379999999999999</v>
      </c>
      <c r="AM114" s="24">
        <v>4.6100000000000003</v>
      </c>
    </row>
    <row r="115" spans="1:39" x14ac:dyDescent="0.2">
      <c r="A115" s="24">
        <v>6.4870000000000001</v>
      </c>
      <c r="S115" s="1"/>
      <c r="AD115" s="24">
        <v>9.4019999999999992</v>
      </c>
      <c r="AE115" s="24">
        <v>17.835000000000001</v>
      </c>
      <c r="AF115" s="24">
        <v>6.4870000000000001</v>
      </c>
      <c r="AG115" s="24">
        <v>6.02</v>
      </c>
      <c r="AH115" s="24">
        <v>8.2059999999999995</v>
      </c>
      <c r="AI115" s="24">
        <v>9.0289999999999999</v>
      </c>
      <c r="AJ115" s="24">
        <v>4.8780000000000001</v>
      </c>
      <c r="AK115" s="24">
        <v>5.6379999999999999</v>
      </c>
      <c r="AL115" s="24">
        <v>4.6100000000000003</v>
      </c>
      <c r="AM115" s="24">
        <v>4.9420000000000002</v>
      </c>
    </row>
    <row r="116" spans="1:39" x14ac:dyDescent="0.2">
      <c r="A116" s="24">
        <v>6.02</v>
      </c>
      <c r="S116" s="1"/>
      <c r="AD116" s="24">
        <v>17.835000000000001</v>
      </c>
      <c r="AE116" s="24">
        <v>6.4870000000000001</v>
      </c>
      <c r="AF116" s="24">
        <v>6.02</v>
      </c>
      <c r="AG116" s="24">
        <v>8.2059999999999995</v>
      </c>
      <c r="AH116" s="24">
        <v>9.0289999999999999</v>
      </c>
      <c r="AI116" s="24">
        <v>4.8780000000000001</v>
      </c>
      <c r="AJ116" s="24">
        <v>5.6379999999999999</v>
      </c>
      <c r="AK116" s="24">
        <v>4.6100000000000003</v>
      </c>
      <c r="AL116" s="24">
        <v>4.9420000000000002</v>
      </c>
      <c r="AM116" s="24">
        <v>6.0060000000000002</v>
      </c>
    </row>
    <row r="117" spans="1:39" x14ac:dyDescent="0.2">
      <c r="A117" s="24">
        <v>8.2059999999999995</v>
      </c>
      <c r="S117" s="1"/>
      <c r="AD117" s="24">
        <v>6.4870000000000001</v>
      </c>
      <c r="AE117" s="24">
        <v>6.02</v>
      </c>
      <c r="AF117" s="24">
        <v>8.2059999999999995</v>
      </c>
      <c r="AG117" s="24">
        <v>9.0289999999999999</v>
      </c>
      <c r="AH117" s="24">
        <v>4.8780000000000001</v>
      </c>
      <c r="AI117" s="24">
        <v>5.6379999999999999</v>
      </c>
      <c r="AJ117" s="24">
        <v>4.6100000000000003</v>
      </c>
      <c r="AK117" s="24">
        <v>4.9420000000000002</v>
      </c>
      <c r="AL117" s="24">
        <v>6.0060000000000002</v>
      </c>
      <c r="AM117" s="24">
        <v>4.62</v>
      </c>
    </row>
    <row r="118" spans="1:39" x14ac:dyDescent="0.2">
      <c r="A118" s="24">
        <v>9.0289999999999999</v>
      </c>
      <c r="S118" s="1"/>
      <c r="AD118" s="24">
        <v>6.02</v>
      </c>
      <c r="AE118" s="24">
        <v>8.2059999999999995</v>
      </c>
      <c r="AF118" s="24">
        <v>9.0289999999999999</v>
      </c>
      <c r="AG118" s="24">
        <v>4.8780000000000001</v>
      </c>
      <c r="AH118" s="24">
        <v>5.6379999999999999</v>
      </c>
      <c r="AI118" s="24">
        <v>4.6100000000000003</v>
      </c>
      <c r="AJ118" s="24">
        <v>4.9420000000000002</v>
      </c>
      <c r="AK118" s="24">
        <v>6.0060000000000002</v>
      </c>
      <c r="AL118" s="24">
        <v>4.62</v>
      </c>
      <c r="AM118" s="24">
        <v>8.5549999999999997</v>
      </c>
    </row>
    <row r="119" spans="1:39" x14ac:dyDescent="0.2">
      <c r="A119" s="24">
        <v>4.8780000000000001</v>
      </c>
      <c r="S119" s="1"/>
      <c r="AD119" s="24">
        <v>8.2059999999999995</v>
      </c>
      <c r="AE119" s="24">
        <v>9.0289999999999999</v>
      </c>
      <c r="AF119" s="24">
        <v>4.8780000000000001</v>
      </c>
      <c r="AG119" s="24">
        <v>5.6379999999999999</v>
      </c>
      <c r="AH119" s="24">
        <v>4.6100000000000003</v>
      </c>
      <c r="AI119" s="24">
        <v>4.9420000000000002</v>
      </c>
      <c r="AJ119" s="24">
        <v>6.0060000000000002</v>
      </c>
      <c r="AK119" s="24">
        <v>4.62</v>
      </c>
      <c r="AL119" s="24">
        <v>8.5549999999999997</v>
      </c>
      <c r="AM119" s="24">
        <v>8.734</v>
      </c>
    </row>
    <row r="120" spans="1:39" x14ac:dyDescent="0.2">
      <c r="A120" s="24">
        <v>5.6379999999999999</v>
      </c>
      <c r="S120" s="1"/>
      <c r="AD120" s="24">
        <v>9.0289999999999999</v>
      </c>
      <c r="AE120" s="24">
        <v>4.8780000000000001</v>
      </c>
      <c r="AF120" s="24">
        <v>5.6379999999999999</v>
      </c>
      <c r="AG120" s="24">
        <v>4.6100000000000003</v>
      </c>
      <c r="AH120" s="24">
        <v>4.9420000000000002</v>
      </c>
      <c r="AI120" s="24">
        <v>6.0060000000000002</v>
      </c>
      <c r="AJ120" s="24">
        <v>4.62</v>
      </c>
      <c r="AK120" s="24">
        <v>8.5549999999999997</v>
      </c>
      <c r="AL120" s="24">
        <v>8.734</v>
      </c>
      <c r="AM120" s="24">
        <v>5.9329999999999998</v>
      </c>
    </row>
    <row r="121" spans="1:39" x14ac:dyDescent="0.2">
      <c r="A121" s="24">
        <v>4.6100000000000003</v>
      </c>
      <c r="S121" s="1"/>
      <c r="AD121" s="24">
        <v>4.8780000000000001</v>
      </c>
      <c r="AE121" s="24">
        <v>5.6379999999999999</v>
      </c>
      <c r="AF121" s="24">
        <v>4.6100000000000003</v>
      </c>
      <c r="AG121" s="24">
        <v>4.9420000000000002</v>
      </c>
      <c r="AH121" s="24">
        <v>6.0060000000000002</v>
      </c>
      <c r="AI121" s="24">
        <v>4.62</v>
      </c>
      <c r="AJ121" s="24">
        <v>8.5549999999999997</v>
      </c>
      <c r="AK121" s="24">
        <v>8.734</v>
      </c>
      <c r="AL121" s="24">
        <v>5.9329999999999998</v>
      </c>
      <c r="AM121" s="24">
        <v>6.7409999999999997</v>
      </c>
    </row>
    <row r="122" spans="1:39" x14ac:dyDescent="0.2">
      <c r="A122" s="24">
        <v>4.9420000000000002</v>
      </c>
      <c r="S122" s="1"/>
      <c r="AD122" s="24">
        <v>5.6379999999999999</v>
      </c>
      <c r="AE122" s="24">
        <v>4.6100000000000003</v>
      </c>
      <c r="AF122" s="24">
        <v>4.9420000000000002</v>
      </c>
      <c r="AG122" s="24">
        <v>6.0060000000000002</v>
      </c>
      <c r="AH122" s="24">
        <v>4.62</v>
      </c>
      <c r="AI122" s="24">
        <v>8.5549999999999997</v>
      </c>
      <c r="AJ122" s="24">
        <v>8.734</v>
      </c>
      <c r="AK122" s="24">
        <v>5.9329999999999998</v>
      </c>
      <c r="AL122" s="24">
        <v>6.7409999999999997</v>
      </c>
      <c r="AM122" s="24">
        <v>6.234</v>
      </c>
    </row>
    <row r="123" spans="1:39" x14ac:dyDescent="0.2">
      <c r="A123" s="24">
        <v>6.0060000000000002</v>
      </c>
      <c r="S123" s="1"/>
      <c r="AD123" s="24">
        <v>4.6100000000000003</v>
      </c>
      <c r="AE123" s="24">
        <v>4.9420000000000002</v>
      </c>
      <c r="AF123" s="24">
        <v>6.0060000000000002</v>
      </c>
      <c r="AG123" s="24">
        <v>4.62</v>
      </c>
      <c r="AH123" s="24">
        <v>8.5549999999999997</v>
      </c>
      <c r="AI123" s="24">
        <v>8.734</v>
      </c>
      <c r="AJ123" s="24">
        <v>5.9329999999999998</v>
      </c>
      <c r="AK123" s="24">
        <v>6.7409999999999997</v>
      </c>
      <c r="AL123" s="24">
        <v>6.234</v>
      </c>
      <c r="AM123" s="24">
        <v>7.3220000000000001</v>
      </c>
    </row>
    <row r="124" spans="1:39" x14ac:dyDescent="0.2">
      <c r="A124" s="24">
        <v>4.62</v>
      </c>
      <c r="S124" s="1"/>
      <c r="AD124" s="24">
        <v>4.9420000000000002</v>
      </c>
      <c r="AE124" s="24">
        <v>6.0060000000000002</v>
      </c>
      <c r="AF124" s="24">
        <v>4.62</v>
      </c>
      <c r="AG124" s="24">
        <v>8.5549999999999997</v>
      </c>
      <c r="AH124" s="24">
        <v>8.734</v>
      </c>
      <c r="AI124" s="24">
        <v>5.9329999999999998</v>
      </c>
      <c r="AJ124" s="24">
        <v>6.7409999999999997</v>
      </c>
      <c r="AK124" s="24">
        <v>6.234</v>
      </c>
      <c r="AL124" s="24">
        <v>7.3220000000000001</v>
      </c>
      <c r="AM124" s="24">
        <v>6.73</v>
      </c>
    </row>
    <row r="125" spans="1:39" x14ac:dyDescent="0.2">
      <c r="A125" s="24">
        <v>8.5549999999999997</v>
      </c>
      <c r="S125" s="1"/>
      <c r="AD125" s="24">
        <v>6.0060000000000002</v>
      </c>
      <c r="AE125" s="24">
        <v>4.62</v>
      </c>
      <c r="AF125" s="24">
        <v>8.5549999999999997</v>
      </c>
      <c r="AG125" s="24">
        <v>8.734</v>
      </c>
      <c r="AH125" s="24">
        <v>5.9329999999999998</v>
      </c>
      <c r="AI125" s="24">
        <v>6.7409999999999997</v>
      </c>
      <c r="AJ125" s="24">
        <v>6.234</v>
      </c>
      <c r="AK125" s="24">
        <v>7.3220000000000001</v>
      </c>
      <c r="AL125" s="24">
        <v>6.73</v>
      </c>
      <c r="AM125" s="24">
        <v>7.444</v>
      </c>
    </row>
    <row r="126" spans="1:39" x14ac:dyDescent="0.2">
      <c r="A126" s="24">
        <v>8.734</v>
      </c>
      <c r="S126" s="1"/>
      <c r="AD126" s="24">
        <v>4.62</v>
      </c>
      <c r="AE126" s="24">
        <v>8.5549999999999997</v>
      </c>
      <c r="AF126" s="24">
        <v>8.734</v>
      </c>
      <c r="AG126" s="24">
        <v>5.9329999999999998</v>
      </c>
      <c r="AH126" s="24">
        <v>6.7409999999999997</v>
      </c>
      <c r="AI126" s="24">
        <v>6.234</v>
      </c>
      <c r="AJ126" s="24">
        <v>7.3220000000000001</v>
      </c>
      <c r="AK126" s="24">
        <v>6.73</v>
      </c>
      <c r="AL126" s="24">
        <v>7.444</v>
      </c>
      <c r="AM126" s="24">
        <v>5.5190000000000001</v>
      </c>
    </row>
    <row r="127" spans="1:39" x14ac:dyDescent="0.2">
      <c r="A127" s="24">
        <v>5.9329999999999998</v>
      </c>
      <c r="S127" s="1"/>
      <c r="AD127" s="24">
        <v>8.5549999999999997</v>
      </c>
      <c r="AE127" s="24">
        <v>8.734</v>
      </c>
      <c r="AF127" s="24">
        <v>5.9329999999999998</v>
      </c>
      <c r="AG127" s="24">
        <v>6.7409999999999997</v>
      </c>
      <c r="AH127" s="24">
        <v>6.234</v>
      </c>
      <c r="AI127" s="24">
        <v>7.3220000000000001</v>
      </c>
      <c r="AJ127" s="24">
        <v>6.73</v>
      </c>
      <c r="AK127" s="24">
        <v>7.444</v>
      </c>
      <c r="AL127" s="24">
        <v>5.5190000000000001</v>
      </c>
      <c r="AM127" s="24">
        <v>14.038</v>
      </c>
    </row>
    <row r="128" spans="1:39" x14ac:dyDescent="0.2">
      <c r="A128" s="24">
        <v>6.7409999999999997</v>
      </c>
      <c r="S128" s="1"/>
      <c r="AD128" s="24">
        <v>8.734</v>
      </c>
      <c r="AE128" s="24">
        <v>5.9329999999999998</v>
      </c>
      <c r="AF128" s="24">
        <v>6.7409999999999997</v>
      </c>
      <c r="AG128" s="24">
        <v>6.234</v>
      </c>
      <c r="AH128" s="24">
        <v>7.3220000000000001</v>
      </c>
      <c r="AI128" s="24">
        <v>6.73</v>
      </c>
      <c r="AJ128" s="24">
        <v>7.444</v>
      </c>
      <c r="AK128" s="24">
        <v>5.5190000000000001</v>
      </c>
      <c r="AL128" s="24">
        <v>14.038</v>
      </c>
      <c r="AM128" s="24">
        <v>4.7690000000000001</v>
      </c>
    </row>
    <row r="129" spans="1:39" x14ac:dyDescent="0.2">
      <c r="A129" s="24">
        <v>6.234</v>
      </c>
      <c r="S129" s="1"/>
      <c r="AD129" s="24">
        <v>5.9329999999999998</v>
      </c>
      <c r="AE129" s="24">
        <v>6.7409999999999997</v>
      </c>
      <c r="AF129" s="24">
        <v>6.234</v>
      </c>
      <c r="AG129" s="24">
        <v>7.3220000000000001</v>
      </c>
      <c r="AH129" s="24">
        <v>6.73</v>
      </c>
      <c r="AI129" s="24">
        <v>7.444</v>
      </c>
      <c r="AJ129" s="24">
        <v>5.5190000000000001</v>
      </c>
      <c r="AK129" s="24">
        <v>14.038</v>
      </c>
      <c r="AL129" s="24">
        <v>4.7690000000000001</v>
      </c>
      <c r="AM129" s="24">
        <v>5.2779999999999996</v>
      </c>
    </row>
    <row r="130" spans="1:39" x14ac:dyDescent="0.2">
      <c r="A130" s="24">
        <v>7.3220000000000001</v>
      </c>
      <c r="S130" s="1"/>
      <c r="AD130" s="24">
        <v>6.7409999999999997</v>
      </c>
      <c r="AE130" s="24">
        <v>6.234</v>
      </c>
      <c r="AF130" s="24">
        <v>7.3220000000000001</v>
      </c>
      <c r="AG130" s="24">
        <v>6.73</v>
      </c>
      <c r="AH130" s="24">
        <v>7.444</v>
      </c>
      <c r="AI130" s="24">
        <v>5.5190000000000001</v>
      </c>
      <c r="AJ130" s="24">
        <v>14.038</v>
      </c>
      <c r="AK130" s="24">
        <v>4.7690000000000001</v>
      </c>
      <c r="AL130" s="24">
        <v>5.2779999999999996</v>
      </c>
      <c r="AM130" s="24">
        <v>16.643999999999998</v>
      </c>
    </row>
    <row r="131" spans="1:39" x14ac:dyDescent="0.2">
      <c r="A131" s="24">
        <v>6.73</v>
      </c>
      <c r="S131" s="1"/>
      <c r="AD131" s="24">
        <v>6.234</v>
      </c>
      <c r="AE131" s="24">
        <v>7.3220000000000001</v>
      </c>
      <c r="AF131" s="24">
        <v>6.73</v>
      </c>
      <c r="AG131" s="24">
        <v>7.444</v>
      </c>
      <c r="AH131" s="24">
        <v>5.5190000000000001</v>
      </c>
      <c r="AI131" s="24">
        <v>14.038</v>
      </c>
      <c r="AJ131" s="24">
        <v>4.7690000000000001</v>
      </c>
      <c r="AK131" s="24">
        <v>5.2779999999999996</v>
      </c>
      <c r="AL131" s="24">
        <v>16.643999999999998</v>
      </c>
      <c r="AM131" s="24">
        <v>4.6539999999999999</v>
      </c>
    </row>
    <row r="132" spans="1:39" x14ac:dyDescent="0.2">
      <c r="A132" s="24">
        <v>7.444</v>
      </c>
      <c r="S132" s="1"/>
      <c r="AD132" s="24">
        <v>7.3220000000000001</v>
      </c>
      <c r="AE132" s="24">
        <v>6.73</v>
      </c>
      <c r="AF132" s="24">
        <v>7.444</v>
      </c>
      <c r="AG132" s="24">
        <v>5.5190000000000001</v>
      </c>
      <c r="AH132" s="24">
        <v>14.038</v>
      </c>
      <c r="AI132" s="24">
        <v>4.7690000000000001</v>
      </c>
      <c r="AJ132" s="24">
        <v>5.2779999999999996</v>
      </c>
      <c r="AK132" s="24">
        <v>16.643999999999998</v>
      </c>
      <c r="AL132" s="24">
        <v>4.6539999999999999</v>
      </c>
      <c r="AM132" s="24">
        <v>69.468999999999994</v>
      </c>
    </row>
    <row r="133" spans="1:39" x14ac:dyDescent="0.2">
      <c r="A133" s="24">
        <v>5.5190000000000001</v>
      </c>
      <c r="S133" s="1"/>
      <c r="AD133" s="24">
        <v>6.73</v>
      </c>
      <c r="AE133" s="24">
        <v>7.444</v>
      </c>
      <c r="AF133" s="24">
        <v>5.5190000000000001</v>
      </c>
      <c r="AG133" s="24">
        <v>14.038</v>
      </c>
      <c r="AH133" s="24">
        <v>4.7690000000000001</v>
      </c>
      <c r="AI133" s="24">
        <v>5.2779999999999996</v>
      </c>
      <c r="AJ133" s="24">
        <v>16.643999999999998</v>
      </c>
      <c r="AK133" s="24">
        <v>4.6539999999999999</v>
      </c>
      <c r="AL133" s="24">
        <v>69.468999999999994</v>
      </c>
      <c r="AM133" s="24">
        <v>5.8680000000000003</v>
      </c>
    </row>
    <row r="134" spans="1:39" x14ac:dyDescent="0.2">
      <c r="A134" s="24">
        <v>14.038</v>
      </c>
      <c r="S134" s="1"/>
      <c r="AD134" s="24">
        <v>7.444</v>
      </c>
      <c r="AE134" s="24">
        <v>5.5190000000000001</v>
      </c>
      <c r="AF134" s="24">
        <v>14.038</v>
      </c>
      <c r="AG134" s="24">
        <v>4.7690000000000001</v>
      </c>
      <c r="AH134" s="24">
        <v>5.2779999999999996</v>
      </c>
      <c r="AI134" s="24">
        <v>16.643999999999998</v>
      </c>
      <c r="AJ134" s="24">
        <v>4.6539999999999999</v>
      </c>
      <c r="AK134" s="24">
        <v>69.468999999999994</v>
      </c>
      <c r="AL134" s="24">
        <v>5.8680000000000003</v>
      </c>
      <c r="AM134" s="24">
        <v>7.4269999999999996</v>
      </c>
    </row>
    <row r="135" spans="1:39" x14ac:dyDescent="0.2">
      <c r="A135" s="24">
        <v>4.7690000000000001</v>
      </c>
      <c r="S135" s="1"/>
      <c r="AD135" s="24">
        <v>5.5190000000000001</v>
      </c>
      <c r="AE135" s="24">
        <v>14.038</v>
      </c>
      <c r="AF135" s="24">
        <v>4.7690000000000001</v>
      </c>
      <c r="AG135" s="24">
        <v>5.2779999999999996</v>
      </c>
      <c r="AH135" s="24">
        <v>16.643999999999998</v>
      </c>
      <c r="AI135" s="24">
        <v>4.6539999999999999</v>
      </c>
      <c r="AJ135" s="24">
        <v>69.468999999999994</v>
      </c>
      <c r="AK135" s="24">
        <v>5.8680000000000003</v>
      </c>
      <c r="AL135" s="24">
        <v>7.4269999999999996</v>
      </c>
      <c r="AM135" s="24">
        <v>5.4989999999999997</v>
      </c>
    </row>
    <row r="136" spans="1:39" x14ac:dyDescent="0.2">
      <c r="A136" s="24">
        <v>5.2779999999999996</v>
      </c>
      <c r="S136" s="1"/>
      <c r="AD136" s="24">
        <v>14.038</v>
      </c>
      <c r="AE136" s="24">
        <v>4.7690000000000001</v>
      </c>
      <c r="AF136" s="24">
        <v>5.2779999999999996</v>
      </c>
      <c r="AG136" s="24">
        <v>16.643999999999998</v>
      </c>
      <c r="AH136" s="24">
        <v>4.6539999999999999</v>
      </c>
      <c r="AI136" s="24">
        <v>69.468999999999994</v>
      </c>
      <c r="AJ136" s="24">
        <v>5.8680000000000003</v>
      </c>
      <c r="AK136" s="24">
        <v>7.4269999999999996</v>
      </c>
      <c r="AL136" s="24">
        <v>5.4989999999999997</v>
      </c>
      <c r="AM136" s="24">
        <v>67.009</v>
      </c>
    </row>
    <row r="137" spans="1:39" x14ac:dyDescent="0.2">
      <c r="A137" s="24">
        <v>16.643999999999998</v>
      </c>
      <c r="S137" s="1"/>
      <c r="AD137" s="24">
        <v>4.7690000000000001</v>
      </c>
      <c r="AE137" s="24">
        <v>5.2779999999999996</v>
      </c>
      <c r="AF137" s="24">
        <v>16.643999999999998</v>
      </c>
      <c r="AG137" s="24">
        <v>4.6539999999999999</v>
      </c>
      <c r="AH137" s="24">
        <v>69.468999999999994</v>
      </c>
      <c r="AI137" s="24">
        <v>5.8680000000000003</v>
      </c>
      <c r="AJ137" s="24">
        <v>7.4269999999999996</v>
      </c>
      <c r="AK137" s="24">
        <v>5.4989999999999997</v>
      </c>
      <c r="AL137" s="24">
        <v>67.009</v>
      </c>
      <c r="AM137" s="24">
        <v>9.6950000000000003</v>
      </c>
    </row>
    <row r="138" spans="1:39" x14ac:dyDescent="0.2">
      <c r="A138" s="24">
        <v>4.6539999999999999</v>
      </c>
      <c r="S138" s="1"/>
      <c r="AD138" s="24">
        <v>5.2779999999999996</v>
      </c>
      <c r="AE138" s="24">
        <v>16.643999999999998</v>
      </c>
      <c r="AF138" s="24">
        <v>4.6539999999999999</v>
      </c>
      <c r="AG138" s="24">
        <v>69.468999999999994</v>
      </c>
      <c r="AH138" s="24">
        <v>5.8680000000000003</v>
      </c>
      <c r="AI138" s="24">
        <v>7.4269999999999996</v>
      </c>
      <c r="AJ138" s="24">
        <v>5.4989999999999997</v>
      </c>
      <c r="AK138" s="24">
        <v>67.009</v>
      </c>
      <c r="AL138" s="24">
        <v>9.6950000000000003</v>
      </c>
      <c r="AM138" s="24">
        <v>18.274000000000001</v>
      </c>
    </row>
    <row r="139" spans="1:39" x14ac:dyDescent="0.2">
      <c r="A139" s="24">
        <v>69.468999999999994</v>
      </c>
      <c r="S139" s="1"/>
      <c r="AD139" s="24">
        <v>16.643999999999998</v>
      </c>
      <c r="AE139" s="24">
        <v>4.6539999999999999</v>
      </c>
      <c r="AF139" s="24">
        <v>69.468999999999994</v>
      </c>
      <c r="AG139" s="24">
        <v>5.8680000000000003</v>
      </c>
      <c r="AH139" s="24">
        <v>7.4269999999999996</v>
      </c>
      <c r="AI139" s="24">
        <v>5.4989999999999997</v>
      </c>
      <c r="AJ139" s="24">
        <v>67.009</v>
      </c>
      <c r="AK139" s="24">
        <v>9.6950000000000003</v>
      </c>
      <c r="AL139" s="24">
        <v>18.274000000000001</v>
      </c>
      <c r="AM139" s="24">
        <v>4.843</v>
      </c>
    </row>
    <row r="140" spans="1:39" x14ac:dyDescent="0.2">
      <c r="A140" s="24">
        <v>5.8680000000000003</v>
      </c>
      <c r="S140" s="1"/>
      <c r="AD140" s="24">
        <v>4.6539999999999999</v>
      </c>
      <c r="AE140" s="24">
        <v>69.468999999999994</v>
      </c>
      <c r="AF140" s="24">
        <v>5.8680000000000003</v>
      </c>
      <c r="AG140" s="24">
        <v>7.4269999999999996</v>
      </c>
      <c r="AH140" s="24">
        <v>5.4989999999999997</v>
      </c>
      <c r="AI140" s="24">
        <v>67.009</v>
      </c>
      <c r="AJ140" s="24">
        <v>9.6950000000000003</v>
      </c>
      <c r="AK140" s="24">
        <v>18.274000000000001</v>
      </c>
      <c r="AL140" s="24">
        <v>4.843</v>
      </c>
      <c r="AM140" s="24">
        <v>7.72</v>
      </c>
    </row>
    <row r="141" spans="1:39" x14ac:dyDescent="0.2">
      <c r="A141" s="24">
        <v>7.4269999999999996</v>
      </c>
      <c r="S141" s="1"/>
      <c r="AD141" s="24">
        <v>69.468999999999994</v>
      </c>
      <c r="AE141" s="24">
        <v>5.8680000000000003</v>
      </c>
      <c r="AF141" s="24">
        <v>7.4269999999999996</v>
      </c>
      <c r="AG141" s="24">
        <v>5.4989999999999997</v>
      </c>
      <c r="AH141" s="24">
        <v>67.009</v>
      </c>
      <c r="AI141" s="24">
        <v>9.6950000000000003</v>
      </c>
      <c r="AJ141" s="24">
        <v>18.274000000000001</v>
      </c>
      <c r="AK141" s="24">
        <v>4.843</v>
      </c>
      <c r="AL141" s="24">
        <v>7.72</v>
      </c>
      <c r="AM141" s="24">
        <v>9.4420000000000002</v>
      </c>
    </row>
    <row r="142" spans="1:39" x14ac:dyDescent="0.2">
      <c r="A142" s="24">
        <v>5.4989999999999997</v>
      </c>
      <c r="S142" s="1"/>
      <c r="AD142" s="24">
        <v>5.8680000000000003</v>
      </c>
      <c r="AE142" s="24">
        <v>7.4269999999999996</v>
      </c>
      <c r="AF142" s="24">
        <v>5.4989999999999997</v>
      </c>
      <c r="AG142" s="24">
        <v>67.009</v>
      </c>
      <c r="AH142" s="24">
        <v>9.6950000000000003</v>
      </c>
      <c r="AI142" s="24">
        <v>18.274000000000001</v>
      </c>
      <c r="AJ142" s="24">
        <v>4.843</v>
      </c>
      <c r="AK142" s="24">
        <v>7.72</v>
      </c>
      <c r="AL142" s="24">
        <v>9.4420000000000002</v>
      </c>
      <c r="AM142" s="24">
        <v>4.8639999999999999</v>
      </c>
    </row>
    <row r="143" spans="1:39" x14ac:dyDescent="0.2">
      <c r="A143" s="24">
        <v>67.009</v>
      </c>
      <c r="S143" s="1"/>
      <c r="AD143" s="24">
        <v>7.4269999999999996</v>
      </c>
      <c r="AE143" s="24">
        <v>5.4989999999999997</v>
      </c>
      <c r="AF143" s="24">
        <v>67.009</v>
      </c>
      <c r="AG143" s="24">
        <v>9.6950000000000003</v>
      </c>
      <c r="AH143" s="24">
        <v>18.274000000000001</v>
      </c>
      <c r="AI143" s="24">
        <v>4.843</v>
      </c>
      <c r="AJ143" s="24">
        <v>7.72</v>
      </c>
      <c r="AK143" s="24">
        <v>9.4420000000000002</v>
      </c>
      <c r="AL143" s="24">
        <v>4.8639999999999999</v>
      </c>
      <c r="AM143" s="24">
        <v>8.1609999999999996</v>
      </c>
    </row>
    <row r="144" spans="1:39" x14ac:dyDescent="0.2">
      <c r="A144" s="24">
        <v>9.6950000000000003</v>
      </c>
      <c r="S144" s="1"/>
      <c r="AD144" s="24">
        <v>5.4989999999999997</v>
      </c>
      <c r="AE144" s="24">
        <v>67.009</v>
      </c>
      <c r="AF144" s="24">
        <v>9.6950000000000003</v>
      </c>
      <c r="AG144" s="24">
        <v>18.274000000000001</v>
      </c>
      <c r="AH144" s="24">
        <v>4.843</v>
      </c>
      <c r="AI144" s="24">
        <v>7.72</v>
      </c>
      <c r="AJ144" s="24">
        <v>9.4420000000000002</v>
      </c>
      <c r="AK144" s="24">
        <v>4.8639999999999999</v>
      </c>
      <c r="AL144" s="24">
        <v>8.1609999999999996</v>
      </c>
      <c r="AM144" s="24">
        <v>7.9219999999999997</v>
      </c>
    </row>
    <row r="145" spans="1:39" x14ac:dyDescent="0.2">
      <c r="A145" s="24">
        <v>18.274000000000001</v>
      </c>
      <c r="S145" s="1"/>
      <c r="AD145" s="24">
        <v>67.009</v>
      </c>
      <c r="AE145" s="24">
        <v>9.6950000000000003</v>
      </c>
      <c r="AF145" s="24">
        <v>18.274000000000001</v>
      </c>
      <c r="AG145" s="24">
        <v>4.843</v>
      </c>
      <c r="AH145" s="24">
        <v>7.72</v>
      </c>
      <c r="AI145" s="24">
        <v>9.4420000000000002</v>
      </c>
      <c r="AJ145" s="24">
        <v>4.8639999999999999</v>
      </c>
      <c r="AK145" s="24">
        <v>8.1609999999999996</v>
      </c>
      <c r="AL145" s="24">
        <v>7.9219999999999997</v>
      </c>
      <c r="AM145" s="24">
        <v>8.3719999999999999</v>
      </c>
    </row>
    <row r="146" spans="1:39" x14ac:dyDescent="0.2">
      <c r="A146" s="24">
        <v>4.843</v>
      </c>
      <c r="S146" s="1"/>
      <c r="AD146" s="24">
        <v>9.6950000000000003</v>
      </c>
      <c r="AE146" s="24">
        <v>18.274000000000001</v>
      </c>
      <c r="AF146" s="24">
        <v>4.843</v>
      </c>
      <c r="AG146" s="24">
        <v>7.72</v>
      </c>
      <c r="AH146" s="24">
        <v>9.4420000000000002</v>
      </c>
      <c r="AI146" s="24">
        <v>4.8639999999999999</v>
      </c>
      <c r="AJ146" s="24">
        <v>8.1609999999999996</v>
      </c>
      <c r="AK146" s="24">
        <v>7.9219999999999997</v>
      </c>
      <c r="AL146" s="24">
        <v>8.3719999999999999</v>
      </c>
      <c r="AM146" s="24">
        <v>4.6980000000000004</v>
      </c>
    </row>
    <row r="147" spans="1:39" x14ac:dyDescent="0.2">
      <c r="A147" s="24">
        <v>7.72</v>
      </c>
      <c r="S147" s="1"/>
      <c r="AD147" s="24">
        <v>18.274000000000001</v>
      </c>
      <c r="AE147" s="24">
        <v>4.843</v>
      </c>
      <c r="AF147" s="24">
        <v>7.72</v>
      </c>
      <c r="AG147" s="24">
        <v>9.4420000000000002</v>
      </c>
      <c r="AH147" s="24">
        <v>4.8639999999999999</v>
      </c>
      <c r="AI147" s="24">
        <v>8.1609999999999996</v>
      </c>
      <c r="AJ147" s="24">
        <v>7.9219999999999997</v>
      </c>
      <c r="AK147" s="24">
        <v>8.3719999999999999</v>
      </c>
      <c r="AL147" s="24">
        <v>4.6980000000000004</v>
      </c>
      <c r="AM147" s="24">
        <v>5.0739999999999998</v>
      </c>
    </row>
    <row r="148" spans="1:39" x14ac:dyDescent="0.2">
      <c r="A148" s="24">
        <v>9.4420000000000002</v>
      </c>
      <c r="S148" s="1"/>
      <c r="AD148" s="24">
        <v>4.843</v>
      </c>
      <c r="AE148" s="24">
        <v>7.72</v>
      </c>
      <c r="AF148" s="24">
        <v>9.4420000000000002</v>
      </c>
      <c r="AG148" s="24">
        <v>4.8639999999999999</v>
      </c>
      <c r="AH148" s="24">
        <v>8.1609999999999996</v>
      </c>
      <c r="AI148" s="24">
        <v>7.9219999999999997</v>
      </c>
      <c r="AJ148" s="24">
        <v>8.3719999999999999</v>
      </c>
      <c r="AK148" s="24">
        <v>4.6980000000000004</v>
      </c>
      <c r="AL148" s="24">
        <v>5.0739999999999998</v>
      </c>
      <c r="AM148" s="24">
        <v>33.585999999999999</v>
      </c>
    </row>
    <row r="149" spans="1:39" x14ac:dyDescent="0.2">
      <c r="A149" s="24">
        <v>4.8639999999999999</v>
      </c>
      <c r="S149" s="1"/>
      <c r="AD149" s="24">
        <v>7.72</v>
      </c>
      <c r="AE149" s="24">
        <v>9.4420000000000002</v>
      </c>
      <c r="AF149" s="24">
        <v>4.8639999999999999</v>
      </c>
      <c r="AG149" s="24">
        <v>8.1609999999999996</v>
      </c>
      <c r="AH149" s="24">
        <v>7.9219999999999997</v>
      </c>
      <c r="AI149" s="24">
        <v>8.3719999999999999</v>
      </c>
      <c r="AJ149" s="24">
        <v>4.6980000000000004</v>
      </c>
      <c r="AK149" s="24">
        <v>5.0739999999999998</v>
      </c>
      <c r="AL149" s="24">
        <v>33.585999999999999</v>
      </c>
      <c r="AM149" s="24">
        <v>4.657</v>
      </c>
    </row>
    <row r="150" spans="1:39" x14ac:dyDescent="0.2">
      <c r="A150" s="24">
        <v>8.1609999999999996</v>
      </c>
      <c r="S150" s="1"/>
      <c r="AD150" s="24">
        <v>9.4420000000000002</v>
      </c>
      <c r="AE150" s="24">
        <v>4.8639999999999999</v>
      </c>
      <c r="AF150" s="24">
        <v>8.1609999999999996</v>
      </c>
      <c r="AG150" s="24">
        <v>7.9219999999999997</v>
      </c>
      <c r="AH150" s="24">
        <v>8.3719999999999999</v>
      </c>
      <c r="AI150" s="24">
        <v>4.6980000000000004</v>
      </c>
      <c r="AJ150" s="24">
        <v>5.0739999999999998</v>
      </c>
      <c r="AK150" s="24">
        <v>33.585999999999999</v>
      </c>
      <c r="AL150" s="24">
        <v>4.657</v>
      </c>
      <c r="AM150" s="24">
        <v>7.3460000000000001</v>
      </c>
    </row>
    <row r="151" spans="1:39" x14ac:dyDescent="0.2">
      <c r="A151" s="24">
        <v>7.9219999999999997</v>
      </c>
      <c r="S151" s="1"/>
      <c r="AD151" s="24">
        <v>4.8639999999999999</v>
      </c>
      <c r="AE151" s="24">
        <v>8.1609999999999996</v>
      </c>
      <c r="AF151" s="24">
        <v>7.9219999999999997</v>
      </c>
      <c r="AG151" s="24">
        <v>8.3719999999999999</v>
      </c>
      <c r="AH151" s="24">
        <v>4.6980000000000004</v>
      </c>
      <c r="AI151" s="24">
        <v>5.0739999999999998</v>
      </c>
      <c r="AJ151" s="24">
        <v>33.585999999999999</v>
      </c>
      <c r="AK151" s="24">
        <v>4.657</v>
      </c>
      <c r="AL151" s="24">
        <v>7.3460000000000001</v>
      </c>
      <c r="AM151" s="24">
        <v>4.79</v>
      </c>
    </row>
    <row r="152" spans="1:39" x14ac:dyDescent="0.2">
      <c r="A152" s="24">
        <v>8.3719999999999999</v>
      </c>
      <c r="S152" s="1"/>
      <c r="AD152" s="24">
        <v>8.1609999999999996</v>
      </c>
      <c r="AE152" s="24">
        <v>7.9219999999999997</v>
      </c>
      <c r="AF152" s="24">
        <v>8.3719999999999999</v>
      </c>
      <c r="AG152" s="24">
        <v>4.6980000000000004</v>
      </c>
      <c r="AH152" s="24">
        <v>5.0739999999999998</v>
      </c>
      <c r="AI152" s="24">
        <v>33.585999999999999</v>
      </c>
      <c r="AJ152" s="24">
        <v>4.657</v>
      </c>
      <c r="AK152" s="24">
        <v>7.3460000000000001</v>
      </c>
      <c r="AL152" s="24">
        <v>4.79</v>
      </c>
      <c r="AM152" s="24">
        <v>5.05</v>
      </c>
    </row>
    <row r="153" spans="1:39" x14ac:dyDescent="0.2">
      <c r="A153" s="24">
        <v>4.6980000000000004</v>
      </c>
      <c r="S153" s="1"/>
      <c r="AD153" s="24">
        <v>7.9219999999999997</v>
      </c>
      <c r="AE153" s="24">
        <v>8.3719999999999999</v>
      </c>
      <c r="AF153" s="24">
        <v>4.6980000000000004</v>
      </c>
      <c r="AG153" s="24">
        <v>5.0739999999999998</v>
      </c>
      <c r="AH153" s="24">
        <v>33.585999999999999</v>
      </c>
      <c r="AI153" s="24">
        <v>4.657</v>
      </c>
      <c r="AJ153" s="24">
        <v>7.3460000000000001</v>
      </c>
      <c r="AK153" s="24">
        <v>4.79</v>
      </c>
      <c r="AL153" s="24">
        <v>5.05</v>
      </c>
      <c r="AM153" s="24">
        <v>6.0839999999999996</v>
      </c>
    </row>
    <row r="154" spans="1:39" x14ac:dyDescent="0.2">
      <c r="A154" s="24">
        <v>5.0739999999999998</v>
      </c>
      <c r="S154" s="1"/>
      <c r="AD154" s="24">
        <v>8.3719999999999999</v>
      </c>
      <c r="AE154" s="24">
        <v>4.6980000000000004</v>
      </c>
      <c r="AF154" s="24">
        <v>5.0739999999999998</v>
      </c>
      <c r="AG154" s="24">
        <v>33.585999999999999</v>
      </c>
      <c r="AH154" s="24">
        <v>4.657</v>
      </c>
      <c r="AI154" s="24">
        <v>7.3460000000000001</v>
      </c>
      <c r="AJ154" s="24">
        <v>4.79</v>
      </c>
      <c r="AK154" s="24">
        <v>5.05</v>
      </c>
      <c r="AL154" s="24">
        <v>6.0839999999999996</v>
      </c>
      <c r="AM154" s="24">
        <v>7.0309999999999997</v>
      </c>
    </row>
    <row r="155" spans="1:39" x14ac:dyDescent="0.2">
      <c r="A155" s="24">
        <v>33.585999999999999</v>
      </c>
      <c r="S155" s="1"/>
      <c r="AD155" s="24">
        <v>4.6980000000000004</v>
      </c>
      <c r="AE155" s="24">
        <v>5.0739999999999998</v>
      </c>
      <c r="AF155" s="24">
        <v>33.585999999999999</v>
      </c>
      <c r="AG155" s="24">
        <v>4.657</v>
      </c>
      <c r="AH155" s="24">
        <v>7.3460000000000001</v>
      </c>
      <c r="AI155" s="24">
        <v>4.79</v>
      </c>
      <c r="AJ155" s="24">
        <v>5.05</v>
      </c>
      <c r="AK155" s="24">
        <v>6.0839999999999996</v>
      </c>
      <c r="AL155" s="24">
        <v>7.0309999999999997</v>
      </c>
      <c r="AM155" s="24">
        <v>16.140999999999998</v>
      </c>
    </row>
    <row r="156" spans="1:39" x14ac:dyDescent="0.2">
      <c r="A156" s="24">
        <v>4.657</v>
      </c>
      <c r="S156" s="1"/>
      <c r="AD156" s="24">
        <v>5.0739999999999998</v>
      </c>
      <c r="AE156" s="24">
        <v>33.585999999999999</v>
      </c>
      <c r="AF156" s="24">
        <v>4.657</v>
      </c>
      <c r="AG156" s="24">
        <v>7.3460000000000001</v>
      </c>
      <c r="AH156" s="24">
        <v>4.79</v>
      </c>
      <c r="AI156" s="24">
        <v>5.05</v>
      </c>
      <c r="AJ156" s="24">
        <v>6.0839999999999996</v>
      </c>
      <c r="AK156" s="24">
        <v>7.0309999999999997</v>
      </c>
      <c r="AL156" s="24">
        <v>16.140999999999998</v>
      </c>
      <c r="AM156" s="24">
        <v>5.2</v>
      </c>
    </row>
    <row r="157" spans="1:39" x14ac:dyDescent="0.2">
      <c r="A157" s="24">
        <v>7.3460000000000001</v>
      </c>
      <c r="S157" s="1"/>
      <c r="AD157" s="24">
        <v>33.585999999999999</v>
      </c>
      <c r="AE157" s="24">
        <v>4.657</v>
      </c>
      <c r="AF157" s="24">
        <v>7.3460000000000001</v>
      </c>
      <c r="AG157" s="24">
        <v>4.79</v>
      </c>
      <c r="AH157" s="24">
        <v>5.05</v>
      </c>
      <c r="AI157" s="24">
        <v>6.0839999999999996</v>
      </c>
      <c r="AJ157" s="24">
        <v>7.0309999999999997</v>
      </c>
      <c r="AK157" s="24">
        <v>16.140999999999998</v>
      </c>
      <c r="AL157" s="24">
        <v>5.2</v>
      </c>
      <c r="AM157" s="24">
        <v>7.843</v>
      </c>
    </row>
    <row r="158" spans="1:39" x14ac:dyDescent="0.2">
      <c r="A158" s="24">
        <v>4.79</v>
      </c>
      <c r="S158" s="1"/>
      <c r="AD158" s="24">
        <v>4.657</v>
      </c>
      <c r="AE158" s="24">
        <v>7.3460000000000001</v>
      </c>
      <c r="AF158" s="24">
        <v>4.79</v>
      </c>
      <c r="AG158" s="24">
        <v>5.05</v>
      </c>
      <c r="AH158" s="24">
        <v>6.0839999999999996</v>
      </c>
      <c r="AI158" s="24">
        <v>7.0309999999999997</v>
      </c>
      <c r="AJ158" s="24">
        <v>16.140999999999998</v>
      </c>
      <c r="AK158" s="24">
        <v>5.2</v>
      </c>
      <c r="AL158" s="24">
        <v>7.843</v>
      </c>
      <c r="AM158" s="24">
        <v>5.8150000000000004</v>
      </c>
    </row>
    <row r="159" spans="1:39" x14ac:dyDescent="0.2">
      <c r="A159" s="24">
        <v>5.05</v>
      </c>
      <c r="S159" s="1"/>
      <c r="AD159" s="24">
        <v>7.3460000000000001</v>
      </c>
      <c r="AE159" s="24">
        <v>4.79</v>
      </c>
      <c r="AF159" s="24">
        <v>5.05</v>
      </c>
      <c r="AG159" s="24">
        <v>6.0839999999999996</v>
      </c>
      <c r="AH159" s="24">
        <v>7.0309999999999997</v>
      </c>
      <c r="AI159" s="24">
        <v>16.140999999999998</v>
      </c>
      <c r="AJ159" s="24">
        <v>5.2</v>
      </c>
      <c r="AK159" s="24">
        <v>7.843</v>
      </c>
      <c r="AL159" s="24">
        <v>5.8150000000000004</v>
      </c>
      <c r="AM159" s="24">
        <v>4.9619999999999997</v>
      </c>
    </row>
    <row r="160" spans="1:39" x14ac:dyDescent="0.2">
      <c r="A160" s="24">
        <v>6.0839999999999996</v>
      </c>
      <c r="S160" s="1"/>
      <c r="AD160" s="24">
        <v>4.79</v>
      </c>
      <c r="AE160" s="24">
        <v>5.05</v>
      </c>
      <c r="AF160" s="24">
        <v>6.0839999999999996</v>
      </c>
      <c r="AG160" s="24">
        <v>7.0309999999999997</v>
      </c>
      <c r="AH160" s="24">
        <v>16.140999999999998</v>
      </c>
      <c r="AI160" s="24">
        <v>5.2</v>
      </c>
      <c r="AJ160" s="24">
        <v>7.843</v>
      </c>
      <c r="AK160" s="24">
        <v>5.8150000000000004</v>
      </c>
      <c r="AL160" s="24">
        <v>4.9619999999999997</v>
      </c>
      <c r="AM160" s="24">
        <v>16.077999999999999</v>
      </c>
    </row>
    <row r="161" spans="1:39" x14ac:dyDescent="0.2">
      <c r="A161" s="24">
        <v>7.0309999999999997</v>
      </c>
      <c r="S161" s="1"/>
      <c r="AD161" s="24">
        <v>5.05</v>
      </c>
      <c r="AE161" s="24">
        <v>6.0839999999999996</v>
      </c>
      <c r="AF161" s="24">
        <v>7.0309999999999997</v>
      </c>
      <c r="AG161" s="24">
        <v>16.140999999999998</v>
      </c>
      <c r="AH161" s="24">
        <v>5.2</v>
      </c>
      <c r="AI161" s="24">
        <v>7.843</v>
      </c>
      <c r="AJ161" s="24">
        <v>5.8150000000000004</v>
      </c>
      <c r="AK161" s="24">
        <v>4.9619999999999997</v>
      </c>
      <c r="AL161" s="24">
        <v>16.077999999999999</v>
      </c>
      <c r="AM161" s="24">
        <v>85.835999999999999</v>
      </c>
    </row>
    <row r="162" spans="1:39" x14ac:dyDescent="0.2">
      <c r="A162" s="24">
        <v>16.140999999999998</v>
      </c>
      <c r="S162" s="1"/>
      <c r="AD162" s="24">
        <v>6.0839999999999996</v>
      </c>
      <c r="AE162" s="24">
        <v>7.0309999999999997</v>
      </c>
      <c r="AF162" s="24">
        <v>16.140999999999998</v>
      </c>
      <c r="AG162" s="24">
        <v>5.2</v>
      </c>
      <c r="AH162" s="24">
        <v>7.843</v>
      </c>
      <c r="AI162" s="24">
        <v>5.8150000000000004</v>
      </c>
      <c r="AJ162" s="24">
        <v>4.9619999999999997</v>
      </c>
      <c r="AK162" s="24">
        <v>16.077999999999999</v>
      </c>
      <c r="AL162" s="24">
        <v>85.835999999999999</v>
      </c>
      <c r="AM162" s="24">
        <v>9.08</v>
      </c>
    </row>
    <row r="163" spans="1:39" x14ac:dyDescent="0.2">
      <c r="A163" s="24">
        <v>5.2</v>
      </c>
      <c r="S163" s="1"/>
      <c r="AD163" s="24">
        <v>7.0309999999999997</v>
      </c>
      <c r="AE163" s="24">
        <v>16.140999999999998</v>
      </c>
      <c r="AF163" s="24">
        <v>5.2</v>
      </c>
      <c r="AG163" s="24">
        <v>7.843</v>
      </c>
      <c r="AH163" s="24">
        <v>5.8150000000000004</v>
      </c>
      <c r="AI163" s="24">
        <v>4.9619999999999997</v>
      </c>
      <c r="AJ163" s="24">
        <v>16.077999999999999</v>
      </c>
      <c r="AK163" s="24">
        <v>85.835999999999999</v>
      </c>
      <c r="AL163" s="24">
        <v>9.08</v>
      </c>
      <c r="AM163" s="24">
        <v>7.4009999999999998</v>
      </c>
    </row>
    <row r="164" spans="1:39" x14ac:dyDescent="0.2">
      <c r="A164" s="24">
        <v>7.843</v>
      </c>
      <c r="S164" s="1"/>
      <c r="AD164" s="24">
        <v>16.140999999999998</v>
      </c>
      <c r="AE164" s="24">
        <v>5.2</v>
      </c>
      <c r="AF164" s="24">
        <v>7.843</v>
      </c>
      <c r="AG164" s="24">
        <v>5.8150000000000004</v>
      </c>
      <c r="AH164" s="24">
        <v>4.9619999999999997</v>
      </c>
      <c r="AI164" s="24">
        <v>16.077999999999999</v>
      </c>
      <c r="AJ164" s="24">
        <v>85.835999999999999</v>
      </c>
      <c r="AK164" s="24">
        <v>9.08</v>
      </c>
      <c r="AL164" s="24">
        <v>7.4009999999999998</v>
      </c>
      <c r="AM164" s="24">
        <v>6.9180000000000001</v>
      </c>
    </row>
    <row r="165" spans="1:39" x14ac:dyDescent="0.2">
      <c r="A165" s="24">
        <v>5.8150000000000004</v>
      </c>
      <c r="S165" s="1"/>
      <c r="AD165" s="24">
        <v>5.2</v>
      </c>
      <c r="AE165" s="24">
        <v>7.843</v>
      </c>
      <c r="AF165" s="24">
        <v>5.8150000000000004</v>
      </c>
      <c r="AG165" s="24">
        <v>4.9619999999999997</v>
      </c>
      <c r="AH165" s="24">
        <v>16.077999999999999</v>
      </c>
      <c r="AI165" s="24">
        <v>85.835999999999999</v>
      </c>
      <c r="AJ165" s="24">
        <v>9.08</v>
      </c>
      <c r="AK165" s="24">
        <v>7.4009999999999998</v>
      </c>
      <c r="AL165" s="24">
        <v>6.9180000000000001</v>
      </c>
      <c r="AM165" s="24">
        <v>5.2050000000000001</v>
      </c>
    </row>
    <row r="166" spans="1:39" x14ac:dyDescent="0.2">
      <c r="A166" s="24">
        <v>4.9619999999999997</v>
      </c>
      <c r="S166" s="1"/>
      <c r="AD166" s="24">
        <v>7.843</v>
      </c>
      <c r="AE166" s="24">
        <v>5.8150000000000004</v>
      </c>
      <c r="AF166" s="24">
        <v>4.9619999999999997</v>
      </c>
      <c r="AG166" s="24">
        <v>16.077999999999999</v>
      </c>
      <c r="AH166" s="24">
        <v>85.835999999999999</v>
      </c>
      <c r="AI166" s="24">
        <v>9.08</v>
      </c>
      <c r="AJ166" s="24">
        <v>7.4009999999999998</v>
      </c>
      <c r="AK166" s="24">
        <v>6.9180000000000001</v>
      </c>
      <c r="AL166" s="24">
        <v>5.2050000000000001</v>
      </c>
      <c r="AM166" s="24">
        <v>7.7629999999999999</v>
      </c>
    </row>
    <row r="167" spans="1:39" x14ac:dyDescent="0.2">
      <c r="A167" s="24">
        <v>16.077999999999999</v>
      </c>
      <c r="S167" s="1"/>
      <c r="AD167" s="24">
        <v>5.8150000000000004</v>
      </c>
      <c r="AE167" s="24">
        <v>4.9619999999999997</v>
      </c>
      <c r="AF167" s="24">
        <v>16.077999999999999</v>
      </c>
      <c r="AG167" s="24">
        <v>85.835999999999999</v>
      </c>
      <c r="AH167" s="24">
        <v>9.08</v>
      </c>
      <c r="AI167" s="24">
        <v>7.4009999999999998</v>
      </c>
      <c r="AJ167" s="24">
        <v>6.9180000000000001</v>
      </c>
      <c r="AK167" s="24">
        <v>5.2050000000000001</v>
      </c>
      <c r="AL167" s="24">
        <v>7.7629999999999999</v>
      </c>
      <c r="AM167" s="24">
        <v>6.73</v>
      </c>
    </row>
    <row r="168" spans="1:39" x14ac:dyDescent="0.2">
      <c r="A168" s="24">
        <v>85.835999999999999</v>
      </c>
      <c r="S168" s="1"/>
      <c r="AD168" s="24">
        <v>4.9619999999999997</v>
      </c>
      <c r="AE168" s="24">
        <v>16.077999999999999</v>
      </c>
      <c r="AF168" s="24">
        <v>85.835999999999999</v>
      </c>
      <c r="AG168" s="24">
        <v>9.08</v>
      </c>
      <c r="AH168" s="24">
        <v>7.4009999999999998</v>
      </c>
      <c r="AI168" s="24">
        <v>6.9180000000000001</v>
      </c>
      <c r="AJ168" s="24">
        <v>5.2050000000000001</v>
      </c>
      <c r="AK168" s="24">
        <v>7.7629999999999999</v>
      </c>
      <c r="AL168" s="24">
        <v>6.73</v>
      </c>
      <c r="AM168" s="24">
        <v>4.6120000000000001</v>
      </c>
    </row>
    <row r="169" spans="1:39" x14ac:dyDescent="0.2">
      <c r="A169" s="24">
        <v>9.08</v>
      </c>
      <c r="S169" s="1"/>
      <c r="AD169" s="24">
        <v>16.077999999999999</v>
      </c>
      <c r="AE169" s="24">
        <v>85.835999999999999</v>
      </c>
      <c r="AF169" s="24">
        <v>9.08</v>
      </c>
      <c r="AG169" s="24">
        <v>7.4009999999999998</v>
      </c>
      <c r="AH169" s="24">
        <v>6.9180000000000001</v>
      </c>
      <c r="AI169" s="24">
        <v>5.2050000000000001</v>
      </c>
      <c r="AJ169" s="24">
        <v>7.7629999999999999</v>
      </c>
      <c r="AK169" s="24">
        <v>6.73</v>
      </c>
      <c r="AL169" s="24">
        <v>4.6120000000000001</v>
      </c>
      <c r="AM169" s="24">
        <v>16.355</v>
      </c>
    </row>
    <row r="170" spans="1:39" x14ac:dyDescent="0.2">
      <c r="A170" s="24">
        <v>7.4009999999999998</v>
      </c>
      <c r="S170" s="1"/>
      <c r="AD170" s="24">
        <v>85.835999999999999</v>
      </c>
      <c r="AE170" s="24">
        <v>9.08</v>
      </c>
      <c r="AF170" s="24">
        <v>7.4009999999999998</v>
      </c>
      <c r="AG170" s="24">
        <v>6.9180000000000001</v>
      </c>
      <c r="AH170" s="24">
        <v>5.2050000000000001</v>
      </c>
      <c r="AI170" s="24">
        <v>7.7629999999999999</v>
      </c>
      <c r="AJ170" s="24">
        <v>6.73</v>
      </c>
      <c r="AK170" s="24">
        <v>4.6120000000000001</v>
      </c>
      <c r="AL170" s="24">
        <v>16.355</v>
      </c>
      <c r="AM170" s="24">
        <v>8.3659999999999997</v>
      </c>
    </row>
    <row r="171" spans="1:39" x14ac:dyDescent="0.2">
      <c r="A171" s="24">
        <v>6.9180000000000001</v>
      </c>
      <c r="S171" s="1"/>
      <c r="AD171" s="24">
        <v>9.08</v>
      </c>
      <c r="AE171" s="24">
        <v>7.4009999999999998</v>
      </c>
      <c r="AF171" s="24">
        <v>6.9180000000000001</v>
      </c>
      <c r="AG171" s="24">
        <v>5.2050000000000001</v>
      </c>
      <c r="AH171" s="24">
        <v>7.7629999999999999</v>
      </c>
      <c r="AI171" s="24">
        <v>6.73</v>
      </c>
      <c r="AJ171" s="24">
        <v>4.6120000000000001</v>
      </c>
      <c r="AK171" s="24">
        <v>16.355</v>
      </c>
      <c r="AL171" s="24">
        <v>8.3659999999999997</v>
      </c>
      <c r="AM171" s="24">
        <v>6.4710000000000001</v>
      </c>
    </row>
    <row r="172" spans="1:39" x14ac:dyDescent="0.2">
      <c r="A172" s="24">
        <v>5.2050000000000001</v>
      </c>
      <c r="S172" s="1"/>
      <c r="AD172" s="24">
        <v>7.4009999999999998</v>
      </c>
      <c r="AE172" s="24">
        <v>6.9180000000000001</v>
      </c>
      <c r="AF172" s="24">
        <v>5.2050000000000001</v>
      </c>
      <c r="AG172" s="24">
        <v>7.7629999999999999</v>
      </c>
      <c r="AH172" s="24">
        <v>6.73</v>
      </c>
      <c r="AI172" s="24">
        <v>4.6120000000000001</v>
      </c>
      <c r="AJ172" s="24">
        <v>16.355</v>
      </c>
      <c r="AK172" s="24">
        <v>8.3659999999999997</v>
      </c>
      <c r="AL172" s="24">
        <v>6.4710000000000001</v>
      </c>
      <c r="AM172" s="24">
        <v>7.8739999999999997</v>
      </c>
    </row>
    <row r="173" spans="1:39" x14ac:dyDescent="0.2">
      <c r="A173" s="24">
        <v>7.7629999999999999</v>
      </c>
      <c r="S173" s="1"/>
      <c r="AD173" s="24">
        <v>6.9180000000000001</v>
      </c>
      <c r="AE173" s="24">
        <v>5.2050000000000001</v>
      </c>
      <c r="AF173" s="24">
        <v>7.7629999999999999</v>
      </c>
      <c r="AG173" s="24">
        <v>6.73</v>
      </c>
      <c r="AH173" s="24">
        <v>4.6120000000000001</v>
      </c>
      <c r="AI173" s="24">
        <v>16.355</v>
      </c>
      <c r="AJ173" s="24">
        <v>8.3659999999999997</v>
      </c>
      <c r="AK173" s="24">
        <v>6.4710000000000001</v>
      </c>
      <c r="AL173" s="24">
        <v>7.8739999999999997</v>
      </c>
      <c r="AM173" s="24">
        <v>7.9509999999999996</v>
      </c>
    </row>
    <row r="174" spans="1:39" x14ac:dyDescent="0.2">
      <c r="A174" s="24">
        <v>6.73</v>
      </c>
      <c r="S174" s="1"/>
      <c r="AD174" s="24">
        <v>5.2050000000000001</v>
      </c>
      <c r="AE174" s="24">
        <v>7.7629999999999999</v>
      </c>
      <c r="AF174" s="24">
        <v>6.73</v>
      </c>
      <c r="AG174" s="24">
        <v>4.6120000000000001</v>
      </c>
      <c r="AH174" s="24">
        <v>16.355</v>
      </c>
      <c r="AI174" s="24">
        <v>8.3659999999999997</v>
      </c>
      <c r="AJ174" s="24">
        <v>6.4710000000000001</v>
      </c>
      <c r="AK174" s="24">
        <v>7.8739999999999997</v>
      </c>
      <c r="AL174" s="24">
        <v>7.9509999999999996</v>
      </c>
      <c r="AM174" s="24">
        <v>45.537999999999997</v>
      </c>
    </row>
    <row r="175" spans="1:39" x14ac:dyDescent="0.2">
      <c r="A175" s="24">
        <v>4.6120000000000001</v>
      </c>
      <c r="S175" s="1"/>
      <c r="AD175" s="24">
        <v>7.7629999999999999</v>
      </c>
      <c r="AE175" s="24">
        <v>6.73</v>
      </c>
      <c r="AF175" s="24">
        <v>4.6120000000000001</v>
      </c>
      <c r="AG175" s="24">
        <v>16.355</v>
      </c>
      <c r="AH175" s="24">
        <v>8.3659999999999997</v>
      </c>
      <c r="AI175" s="24">
        <v>6.4710000000000001</v>
      </c>
      <c r="AJ175" s="24">
        <v>7.8739999999999997</v>
      </c>
      <c r="AK175" s="24">
        <v>7.9509999999999996</v>
      </c>
      <c r="AL175" s="24">
        <v>45.537999999999997</v>
      </c>
      <c r="AM175" s="24">
        <v>4.9580000000000002</v>
      </c>
    </row>
    <row r="176" spans="1:39" x14ac:dyDescent="0.2">
      <c r="A176" s="24">
        <v>16.355</v>
      </c>
      <c r="S176" s="1"/>
      <c r="AD176" s="24">
        <v>6.73</v>
      </c>
      <c r="AE176" s="24">
        <v>4.6120000000000001</v>
      </c>
      <c r="AF176" s="24">
        <v>16.355</v>
      </c>
      <c r="AG176" s="24">
        <v>8.3659999999999997</v>
      </c>
      <c r="AH176" s="24">
        <v>6.4710000000000001</v>
      </c>
      <c r="AI176" s="24">
        <v>7.8739999999999997</v>
      </c>
      <c r="AJ176" s="24">
        <v>7.9509999999999996</v>
      </c>
      <c r="AK176" s="24">
        <v>45.537999999999997</v>
      </c>
      <c r="AL176" s="24">
        <v>4.9580000000000002</v>
      </c>
      <c r="AM176" s="24">
        <v>6.2610000000000001</v>
      </c>
    </row>
    <row r="177" spans="1:39" x14ac:dyDescent="0.2">
      <c r="A177" s="24">
        <v>8.3659999999999997</v>
      </c>
      <c r="S177" s="1"/>
      <c r="AD177" s="24">
        <v>4.6120000000000001</v>
      </c>
      <c r="AE177" s="24">
        <v>16.355</v>
      </c>
      <c r="AF177" s="24">
        <v>8.3659999999999997</v>
      </c>
      <c r="AG177" s="24">
        <v>6.4710000000000001</v>
      </c>
      <c r="AH177" s="24">
        <v>7.8739999999999997</v>
      </c>
      <c r="AI177" s="24">
        <v>7.9509999999999996</v>
      </c>
      <c r="AJ177" s="24">
        <v>45.537999999999997</v>
      </c>
      <c r="AK177" s="24">
        <v>4.9580000000000002</v>
      </c>
      <c r="AL177" s="24">
        <v>6.2610000000000001</v>
      </c>
      <c r="AM177" s="24">
        <v>4.694</v>
      </c>
    </row>
    <row r="178" spans="1:39" x14ac:dyDescent="0.2">
      <c r="A178" s="24">
        <v>6.4710000000000001</v>
      </c>
      <c r="S178" s="1"/>
      <c r="AD178" s="24">
        <v>16.355</v>
      </c>
      <c r="AE178" s="24">
        <v>8.3659999999999997</v>
      </c>
      <c r="AF178" s="24">
        <v>6.4710000000000001</v>
      </c>
      <c r="AG178" s="24">
        <v>7.8739999999999997</v>
      </c>
      <c r="AH178" s="24">
        <v>7.9509999999999996</v>
      </c>
      <c r="AI178" s="24">
        <v>45.537999999999997</v>
      </c>
      <c r="AJ178" s="24">
        <v>4.9580000000000002</v>
      </c>
      <c r="AK178" s="24">
        <v>6.2610000000000001</v>
      </c>
      <c r="AL178" s="24">
        <v>4.694</v>
      </c>
      <c r="AM178" s="24">
        <v>4.62</v>
      </c>
    </row>
    <row r="179" spans="1:39" x14ac:dyDescent="0.2">
      <c r="A179" s="24">
        <v>7.8739999999999997</v>
      </c>
      <c r="S179" s="1"/>
      <c r="AD179" s="24">
        <v>8.3659999999999997</v>
      </c>
      <c r="AE179" s="24">
        <v>6.4710000000000001</v>
      </c>
      <c r="AF179" s="24">
        <v>7.8739999999999997</v>
      </c>
      <c r="AG179" s="24">
        <v>7.9509999999999996</v>
      </c>
      <c r="AH179" s="24">
        <v>45.537999999999997</v>
      </c>
      <c r="AI179" s="24">
        <v>4.9580000000000002</v>
      </c>
      <c r="AJ179" s="24">
        <v>6.2610000000000001</v>
      </c>
      <c r="AK179" s="24">
        <v>4.694</v>
      </c>
      <c r="AL179" s="24">
        <v>4.62</v>
      </c>
      <c r="AM179" s="24">
        <v>5.4690000000000003</v>
      </c>
    </row>
    <row r="180" spans="1:39" x14ac:dyDescent="0.2">
      <c r="A180" s="24">
        <v>7.9509999999999996</v>
      </c>
      <c r="S180" s="1"/>
      <c r="AD180" s="24">
        <v>6.4710000000000001</v>
      </c>
      <c r="AE180" s="24">
        <v>7.8739999999999997</v>
      </c>
      <c r="AF180" s="24">
        <v>7.9509999999999996</v>
      </c>
      <c r="AG180" s="24">
        <v>45.537999999999997</v>
      </c>
      <c r="AH180" s="24">
        <v>4.9580000000000002</v>
      </c>
      <c r="AI180" s="24">
        <v>6.2610000000000001</v>
      </c>
      <c r="AJ180" s="24">
        <v>4.694</v>
      </c>
      <c r="AK180" s="24">
        <v>4.62</v>
      </c>
      <c r="AL180" s="24">
        <v>5.4690000000000003</v>
      </c>
      <c r="AM180" s="24">
        <v>8.1219999999999999</v>
      </c>
    </row>
    <row r="181" spans="1:39" x14ac:dyDescent="0.2">
      <c r="A181" s="24">
        <v>45.537999999999997</v>
      </c>
      <c r="S181" s="1"/>
      <c r="AD181" s="24">
        <v>7.8739999999999997</v>
      </c>
      <c r="AE181" s="24">
        <v>7.9509999999999996</v>
      </c>
      <c r="AF181" s="24">
        <v>45.537999999999997</v>
      </c>
      <c r="AG181" s="24">
        <v>4.9580000000000002</v>
      </c>
      <c r="AH181" s="24">
        <v>6.2610000000000001</v>
      </c>
      <c r="AI181" s="24">
        <v>4.694</v>
      </c>
      <c r="AJ181" s="24">
        <v>4.62</v>
      </c>
      <c r="AK181" s="24">
        <v>5.4690000000000003</v>
      </c>
      <c r="AL181" s="24">
        <v>8.1219999999999999</v>
      </c>
      <c r="AM181" s="24">
        <v>21</v>
      </c>
    </row>
    <row r="182" spans="1:39" x14ac:dyDescent="0.2">
      <c r="A182" s="24">
        <v>4.9580000000000002</v>
      </c>
      <c r="S182" s="1"/>
      <c r="AD182" s="24">
        <v>7.9509999999999996</v>
      </c>
      <c r="AE182" s="24">
        <v>45.537999999999997</v>
      </c>
      <c r="AF182" s="24">
        <v>4.9580000000000002</v>
      </c>
      <c r="AG182" s="24">
        <v>6.2610000000000001</v>
      </c>
      <c r="AH182" s="24">
        <v>4.694</v>
      </c>
      <c r="AI182" s="24">
        <v>4.62</v>
      </c>
      <c r="AJ182" s="24">
        <v>5.4690000000000003</v>
      </c>
      <c r="AK182" s="24">
        <v>8.1219999999999999</v>
      </c>
      <c r="AL182" s="24">
        <v>21</v>
      </c>
      <c r="AM182" s="24">
        <v>6.3310000000000004</v>
      </c>
    </row>
    <row r="183" spans="1:39" x14ac:dyDescent="0.2">
      <c r="A183" s="24">
        <v>6.2610000000000001</v>
      </c>
      <c r="S183" s="1"/>
      <c r="AD183" s="24">
        <v>45.537999999999997</v>
      </c>
      <c r="AE183" s="24">
        <v>4.9580000000000002</v>
      </c>
      <c r="AF183" s="24">
        <v>6.2610000000000001</v>
      </c>
      <c r="AG183" s="24">
        <v>4.694</v>
      </c>
      <c r="AH183" s="24">
        <v>4.62</v>
      </c>
      <c r="AI183" s="24">
        <v>5.4690000000000003</v>
      </c>
      <c r="AJ183" s="24">
        <v>8.1219999999999999</v>
      </c>
      <c r="AK183" s="24">
        <v>21</v>
      </c>
      <c r="AL183" s="24">
        <v>6.3310000000000004</v>
      </c>
      <c r="AM183" s="24">
        <v>4.625</v>
      </c>
    </row>
    <row r="184" spans="1:39" x14ac:dyDescent="0.2">
      <c r="A184" s="24">
        <v>4.694</v>
      </c>
      <c r="S184" s="1"/>
      <c r="AD184" s="24">
        <v>4.9580000000000002</v>
      </c>
      <c r="AE184" s="24">
        <v>6.2610000000000001</v>
      </c>
      <c r="AF184" s="24">
        <v>4.694</v>
      </c>
      <c r="AG184" s="24">
        <v>4.62</v>
      </c>
      <c r="AH184" s="24">
        <v>5.4690000000000003</v>
      </c>
      <c r="AI184" s="24">
        <v>8.1219999999999999</v>
      </c>
      <c r="AJ184" s="24">
        <v>21</v>
      </c>
      <c r="AK184" s="24">
        <v>6.3310000000000004</v>
      </c>
      <c r="AL184" s="24">
        <v>4.625</v>
      </c>
      <c r="AM184" s="24">
        <v>4.6890000000000001</v>
      </c>
    </row>
    <row r="185" spans="1:39" x14ac:dyDescent="0.2">
      <c r="A185" s="24">
        <v>4.62</v>
      </c>
      <c r="S185" s="1"/>
      <c r="AD185" s="24">
        <v>6.2610000000000001</v>
      </c>
      <c r="AE185" s="24">
        <v>4.694</v>
      </c>
      <c r="AF185" s="24">
        <v>4.62</v>
      </c>
      <c r="AG185" s="24">
        <v>5.4690000000000003</v>
      </c>
      <c r="AH185" s="24">
        <v>8.1219999999999999</v>
      </c>
      <c r="AI185" s="24">
        <v>21</v>
      </c>
      <c r="AJ185" s="24">
        <v>6.3310000000000004</v>
      </c>
      <c r="AK185" s="24">
        <v>4.625</v>
      </c>
      <c r="AL185" s="24">
        <v>4.6890000000000001</v>
      </c>
      <c r="AM185" s="24">
        <v>5.3129999999999997</v>
      </c>
    </row>
    <row r="186" spans="1:39" x14ac:dyDescent="0.2">
      <c r="A186" s="24">
        <v>5.4690000000000003</v>
      </c>
      <c r="S186" s="1"/>
      <c r="AD186" s="24">
        <v>4.694</v>
      </c>
      <c r="AE186" s="24">
        <v>4.62</v>
      </c>
      <c r="AF186" s="24">
        <v>5.4690000000000003</v>
      </c>
      <c r="AG186" s="24">
        <v>8.1219999999999999</v>
      </c>
      <c r="AH186" s="24">
        <v>21</v>
      </c>
      <c r="AI186" s="24">
        <v>6.3310000000000004</v>
      </c>
      <c r="AJ186" s="24">
        <v>4.625</v>
      </c>
      <c r="AK186" s="24">
        <v>4.6890000000000001</v>
      </c>
      <c r="AL186" s="24">
        <v>5.3129999999999997</v>
      </c>
      <c r="AM186" s="24">
        <v>35.942999999999998</v>
      </c>
    </row>
    <row r="187" spans="1:39" x14ac:dyDescent="0.2">
      <c r="A187" s="24">
        <v>8.1219999999999999</v>
      </c>
      <c r="S187" s="1"/>
      <c r="AD187" s="24">
        <v>4.62</v>
      </c>
      <c r="AE187" s="24">
        <v>5.4690000000000003</v>
      </c>
      <c r="AF187" s="24">
        <v>8.1219999999999999</v>
      </c>
      <c r="AG187" s="24">
        <v>21</v>
      </c>
      <c r="AH187" s="24">
        <v>6.3310000000000004</v>
      </c>
      <c r="AI187" s="24">
        <v>4.625</v>
      </c>
      <c r="AJ187" s="24">
        <v>4.6890000000000001</v>
      </c>
      <c r="AK187" s="24">
        <v>5.3129999999999997</v>
      </c>
      <c r="AL187" s="24">
        <v>35.942999999999998</v>
      </c>
      <c r="AM187" s="24">
        <v>5.298</v>
      </c>
    </row>
    <row r="188" spans="1:39" x14ac:dyDescent="0.2">
      <c r="A188" s="24">
        <v>21</v>
      </c>
      <c r="S188" s="1"/>
      <c r="AD188" s="24">
        <v>5.4690000000000003</v>
      </c>
      <c r="AE188" s="24">
        <v>8.1219999999999999</v>
      </c>
      <c r="AF188" s="24">
        <v>21</v>
      </c>
      <c r="AG188" s="24">
        <v>6.3310000000000004</v>
      </c>
      <c r="AH188" s="24">
        <v>4.625</v>
      </c>
      <c r="AI188" s="24">
        <v>4.6890000000000001</v>
      </c>
      <c r="AJ188" s="24">
        <v>5.3129999999999997</v>
      </c>
      <c r="AK188" s="24">
        <v>35.942999999999998</v>
      </c>
      <c r="AL188" s="24">
        <v>5.298</v>
      </c>
      <c r="AM188" s="24">
        <v>6.2770000000000001</v>
      </c>
    </row>
    <row r="189" spans="1:39" x14ac:dyDescent="0.2">
      <c r="A189" s="24">
        <v>6.3310000000000004</v>
      </c>
      <c r="S189" s="1"/>
      <c r="AD189" s="24">
        <v>8.1219999999999999</v>
      </c>
      <c r="AE189" s="24">
        <v>21</v>
      </c>
      <c r="AF189" s="24">
        <v>6.3310000000000004</v>
      </c>
      <c r="AG189" s="24">
        <v>4.625</v>
      </c>
      <c r="AH189" s="24">
        <v>4.6890000000000001</v>
      </c>
      <c r="AI189" s="24">
        <v>5.3129999999999997</v>
      </c>
      <c r="AJ189" s="24">
        <v>35.942999999999998</v>
      </c>
      <c r="AK189" s="24">
        <v>5.298</v>
      </c>
      <c r="AL189" s="24">
        <v>6.2770000000000001</v>
      </c>
      <c r="AM189" s="24">
        <v>7.4809999999999999</v>
      </c>
    </row>
    <row r="190" spans="1:39" x14ac:dyDescent="0.2">
      <c r="A190" s="24">
        <v>4.625</v>
      </c>
      <c r="S190" s="1"/>
      <c r="AD190" s="24">
        <v>21</v>
      </c>
      <c r="AE190" s="24">
        <v>6.3310000000000004</v>
      </c>
      <c r="AF190" s="24">
        <v>4.625</v>
      </c>
      <c r="AG190" s="24">
        <v>4.6890000000000001</v>
      </c>
      <c r="AH190" s="24">
        <v>5.3129999999999997</v>
      </c>
      <c r="AI190" s="24">
        <v>35.942999999999998</v>
      </c>
      <c r="AJ190" s="24">
        <v>5.298</v>
      </c>
      <c r="AK190" s="24">
        <v>6.2770000000000001</v>
      </c>
      <c r="AL190" s="24">
        <v>7.4809999999999999</v>
      </c>
      <c r="AM190" s="24">
        <v>4.7270000000000003</v>
      </c>
    </row>
    <row r="191" spans="1:39" x14ac:dyDescent="0.2">
      <c r="A191" s="24">
        <v>4.6890000000000001</v>
      </c>
      <c r="S191" s="1"/>
      <c r="AD191" s="24">
        <v>6.3310000000000004</v>
      </c>
      <c r="AE191" s="24">
        <v>4.625</v>
      </c>
      <c r="AF191" s="24">
        <v>4.6890000000000001</v>
      </c>
      <c r="AG191" s="24">
        <v>5.3129999999999997</v>
      </c>
      <c r="AH191" s="24">
        <v>35.942999999999998</v>
      </c>
      <c r="AI191" s="24">
        <v>5.298</v>
      </c>
      <c r="AJ191" s="24">
        <v>6.2770000000000001</v>
      </c>
      <c r="AK191" s="24">
        <v>7.4809999999999999</v>
      </c>
      <c r="AL191" s="24">
        <v>4.7270000000000003</v>
      </c>
      <c r="AM191" s="24">
        <v>4.8410000000000002</v>
      </c>
    </row>
    <row r="192" spans="1:39" x14ac:dyDescent="0.2">
      <c r="A192" s="24">
        <v>5.3129999999999997</v>
      </c>
      <c r="S192" s="1"/>
      <c r="AD192" s="24">
        <v>4.625</v>
      </c>
      <c r="AE192" s="24">
        <v>4.6890000000000001</v>
      </c>
      <c r="AF192" s="24">
        <v>5.3129999999999997</v>
      </c>
      <c r="AG192" s="24">
        <v>35.942999999999998</v>
      </c>
      <c r="AH192" s="24">
        <v>5.298</v>
      </c>
      <c r="AI192" s="24">
        <v>6.2770000000000001</v>
      </c>
      <c r="AJ192" s="24">
        <v>7.4809999999999999</v>
      </c>
      <c r="AK192" s="24">
        <v>4.7270000000000003</v>
      </c>
      <c r="AL192" s="24">
        <v>4.8410000000000002</v>
      </c>
      <c r="AM192" s="24">
        <v>6.76</v>
      </c>
    </row>
    <row r="193" spans="1:39" x14ac:dyDescent="0.2">
      <c r="A193" s="24">
        <v>35.942999999999998</v>
      </c>
      <c r="S193" s="1"/>
      <c r="AD193" s="24">
        <v>4.6890000000000001</v>
      </c>
      <c r="AE193" s="24">
        <v>5.3129999999999997</v>
      </c>
      <c r="AF193" s="24">
        <v>35.942999999999998</v>
      </c>
      <c r="AG193" s="24">
        <v>5.298</v>
      </c>
      <c r="AH193" s="24">
        <v>6.2770000000000001</v>
      </c>
      <c r="AI193" s="24">
        <v>7.4809999999999999</v>
      </c>
      <c r="AJ193" s="24">
        <v>4.7270000000000003</v>
      </c>
      <c r="AK193" s="24">
        <v>4.8410000000000002</v>
      </c>
      <c r="AL193" s="24">
        <v>6.76</v>
      </c>
      <c r="AM193" s="24">
        <v>25.568000000000001</v>
      </c>
    </row>
    <row r="194" spans="1:39" x14ac:dyDescent="0.2">
      <c r="A194" s="24">
        <v>5.298</v>
      </c>
      <c r="S194" s="1"/>
      <c r="AD194" s="24">
        <v>5.3129999999999997</v>
      </c>
      <c r="AE194" s="24">
        <v>35.942999999999998</v>
      </c>
      <c r="AF194" s="24">
        <v>5.298</v>
      </c>
      <c r="AG194" s="24">
        <v>6.2770000000000001</v>
      </c>
      <c r="AH194" s="24">
        <v>7.4809999999999999</v>
      </c>
      <c r="AI194" s="24">
        <v>4.7270000000000003</v>
      </c>
      <c r="AJ194" s="24">
        <v>4.8410000000000002</v>
      </c>
      <c r="AK194" s="24">
        <v>6.76</v>
      </c>
      <c r="AL194" s="24">
        <v>25.568000000000001</v>
      </c>
      <c r="AM194" s="24">
        <v>8.5069999999999997</v>
      </c>
    </row>
    <row r="195" spans="1:39" x14ac:dyDescent="0.2">
      <c r="A195" s="24">
        <v>6.2770000000000001</v>
      </c>
      <c r="S195" s="1"/>
      <c r="AD195" s="24">
        <v>35.942999999999998</v>
      </c>
      <c r="AE195" s="24">
        <v>5.298</v>
      </c>
      <c r="AF195" s="24">
        <v>6.2770000000000001</v>
      </c>
      <c r="AG195" s="24">
        <v>7.4809999999999999</v>
      </c>
      <c r="AH195" s="24">
        <v>4.7270000000000003</v>
      </c>
      <c r="AI195" s="24">
        <v>4.8410000000000002</v>
      </c>
      <c r="AJ195" s="24">
        <v>6.76</v>
      </c>
      <c r="AK195" s="24">
        <v>25.568000000000001</v>
      </c>
      <c r="AL195" s="24">
        <v>8.5069999999999997</v>
      </c>
      <c r="AM195" s="24">
        <v>4.6180000000000003</v>
      </c>
    </row>
    <row r="196" spans="1:39" x14ac:dyDescent="0.2">
      <c r="A196" s="24">
        <v>7.4809999999999999</v>
      </c>
      <c r="S196" s="1"/>
      <c r="AD196" s="24">
        <v>5.298</v>
      </c>
      <c r="AE196" s="24">
        <v>6.2770000000000001</v>
      </c>
      <c r="AF196" s="24">
        <v>7.4809999999999999</v>
      </c>
      <c r="AG196" s="24">
        <v>4.7270000000000003</v>
      </c>
      <c r="AH196" s="24">
        <v>4.8410000000000002</v>
      </c>
      <c r="AI196" s="24">
        <v>6.76</v>
      </c>
      <c r="AJ196" s="24">
        <v>25.568000000000001</v>
      </c>
      <c r="AK196" s="24">
        <v>8.5069999999999997</v>
      </c>
      <c r="AL196" s="24">
        <v>4.6180000000000003</v>
      </c>
      <c r="AM196" s="24">
        <v>4.6449999999999996</v>
      </c>
    </row>
    <row r="197" spans="1:39" x14ac:dyDescent="0.2">
      <c r="A197" s="24">
        <v>4.7270000000000003</v>
      </c>
      <c r="S197" s="1"/>
      <c r="AD197" s="24">
        <v>6.2770000000000001</v>
      </c>
      <c r="AE197" s="24">
        <v>7.4809999999999999</v>
      </c>
      <c r="AF197" s="24">
        <v>4.7270000000000003</v>
      </c>
      <c r="AG197" s="24">
        <v>4.8410000000000002</v>
      </c>
      <c r="AH197" s="24">
        <v>6.76</v>
      </c>
      <c r="AI197" s="24">
        <v>25.568000000000001</v>
      </c>
      <c r="AJ197" s="24">
        <v>8.5069999999999997</v>
      </c>
      <c r="AK197" s="24">
        <v>4.6180000000000003</v>
      </c>
      <c r="AL197" s="24">
        <v>4.6449999999999996</v>
      </c>
      <c r="AM197" s="24">
        <v>66.064999999999998</v>
      </c>
    </row>
    <row r="198" spans="1:39" x14ac:dyDescent="0.2">
      <c r="A198" s="24">
        <v>4.8410000000000002</v>
      </c>
      <c r="S198" s="1"/>
      <c r="AD198" s="24">
        <v>7.4809999999999999</v>
      </c>
      <c r="AE198" s="24">
        <v>4.7270000000000003</v>
      </c>
      <c r="AF198" s="24">
        <v>4.8410000000000002</v>
      </c>
      <c r="AG198" s="24">
        <v>6.76</v>
      </c>
      <c r="AH198" s="24">
        <v>25.568000000000001</v>
      </c>
      <c r="AI198" s="24">
        <v>8.5069999999999997</v>
      </c>
      <c r="AJ198" s="24">
        <v>4.6180000000000003</v>
      </c>
      <c r="AK198" s="24">
        <v>4.6449999999999996</v>
      </c>
      <c r="AL198" s="24">
        <v>66.064999999999998</v>
      </c>
      <c r="AM198" s="24">
        <v>9.7430000000000003</v>
      </c>
    </row>
    <row r="199" spans="1:39" x14ac:dyDescent="0.2">
      <c r="A199" s="24">
        <v>6.76</v>
      </c>
      <c r="S199" s="1"/>
      <c r="AD199" s="24">
        <v>4.7270000000000003</v>
      </c>
      <c r="AE199" s="24">
        <v>4.8410000000000002</v>
      </c>
      <c r="AF199" s="24">
        <v>6.76</v>
      </c>
      <c r="AG199" s="24">
        <v>25.568000000000001</v>
      </c>
      <c r="AH199" s="24">
        <v>8.5069999999999997</v>
      </c>
      <c r="AI199" s="24">
        <v>4.6180000000000003</v>
      </c>
      <c r="AJ199" s="24">
        <v>4.6449999999999996</v>
      </c>
      <c r="AK199" s="24">
        <v>66.064999999999998</v>
      </c>
      <c r="AL199" s="24">
        <v>9.7430000000000003</v>
      </c>
      <c r="AM199" s="24">
        <v>33.363</v>
      </c>
    </row>
    <row r="200" spans="1:39" x14ac:dyDescent="0.2">
      <c r="A200" s="24">
        <v>25.568000000000001</v>
      </c>
      <c r="S200" s="1"/>
      <c r="AD200" s="24">
        <v>4.8410000000000002</v>
      </c>
      <c r="AE200" s="24">
        <v>6.76</v>
      </c>
      <c r="AF200" s="24">
        <v>25.568000000000001</v>
      </c>
      <c r="AG200" s="24">
        <v>8.5069999999999997</v>
      </c>
      <c r="AH200" s="24">
        <v>4.6180000000000003</v>
      </c>
      <c r="AI200" s="24">
        <v>4.6449999999999996</v>
      </c>
      <c r="AJ200" s="24">
        <v>66.064999999999998</v>
      </c>
      <c r="AK200" s="24">
        <v>9.7430000000000003</v>
      </c>
      <c r="AL200" s="24">
        <v>33.363</v>
      </c>
      <c r="AM200" s="24">
        <v>6.37</v>
      </c>
    </row>
    <row r="201" spans="1:39" x14ac:dyDescent="0.2">
      <c r="A201" s="24">
        <v>8.5069999999999997</v>
      </c>
      <c r="S201" s="1"/>
      <c r="AD201" s="24">
        <v>6.76</v>
      </c>
      <c r="AE201" s="24">
        <v>25.568000000000001</v>
      </c>
      <c r="AF201" s="24">
        <v>8.5069999999999997</v>
      </c>
      <c r="AG201" s="24">
        <v>4.6180000000000003</v>
      </c>
      <c r="AH201" s="24">
        <v>4.6449999999999996</v>
      </c>
      <c r="AI201" s="24">
        <v>66.064999999999998</v>
      </c>
      <c r="AJ201" s="24">
        <v>9.7430000000000003</v>
      </c>
      <c r="AK201" s="24">
        <v>33.363</v>
      </c>
      <c r="AL201" s="24">
        <v>6.37</v>
      </c>
      <c r="AM201" s="24">
        <v>5.7409999999999997</v>
      </c>
    </row>
    <row r="202" spans="1:39" x14ac:dyDescent="0.2">
      <c r="A202" s="24">
        <v>4.6180000000000003</v>
      </c>
      <c r="S202" s="1"/>
      <c r="AD202" s="24">
        <v>25.568000000000001</v>
      </c>
      <c r="AE202" s="24">
        <v>8.5069999999999997</v>
      </c>
      <c r="AF202" s="24">
        <v>4.6180000000000003</v>
      </c>
      <c r="AG202" s="24">
        <v>4.6449999999999996</v>
      </c>
      <c r="AH202" s="24">
        <v>66.064999999999998</v>
      </c>
      <c r="AI202" s="24">
        <v>9.7430000000000003</v>
      </c>
      <c r="AJ202" s="24">
        <v>33.363</v>
      </c>
      <c r="AK202" s="24">
        <v>6.37</v>
      </c>
      <c r="AL202" s="24">
        <v>5.7409999999999997</v>
      </c>
      <c r="AM202" s="24">
        <v>6.4189999999999996</v>
      </c>
    </row>
    <row r="203" spans="1:39" x14ac:dyDescent="0.2">
      <c r="A203" s="24">
        <v>4.6449999999999996</v>
      </c>
      <c r="S203" s="1"/>
      <c r="AD203" s="24">
        <v>8.5069999999999997</v>
      </c>
      <c r="AE203" s="24">
        <v>4.6180000000000003</v>
      </c>
      <c r="AF203" s="24">
        <v>4.6449999999999996</v>
      </c>
      <c r="AG203" s="24">
        <v>66.064999999999998</v>
      </c>
      <c r="AH203" s="24">
        <v>9.7430000000000003</v>
      </c>
      <c r="AI203" s="24">
        <v>33.363</v>
      </c>
      <c r="AJ203" s="24">
        <v>6.37</v>
      </c>
      <c r="AK203" s="24">
        <v>5.7409999999999997</v>
      </c>
      <c r="AL203" s="24">
        <v>6.4189999999999996</v>
      </c>
      <c r="AM203" s="24">
        <v>7.2270000000000003</v>
      </c>
    </row>
    <row r="204" spans="1:39" x14ac:dyDescent="0.2">
      <c r="A204" s="24">
        <v>66.064999999999998</v>
      </c>
      <c r="S204" s="1"/>
      <c r="AD204" s="24">
        <v>4.6180000000000003</v>
      </c>
      <c r="AE204" s="24">
        <v>4.6449999999999996</v>
      </c>
      <c r="AF204" s="24">
        <v>66.064999999999998</v>
      </c>
      <c r="AG204" s="24">
        <v>9.7430000000000003</v>
      </c>
      <c r="AH204" s="24">
        <v>33.363</v>
      </c>
      <c r="AI204" s="24">
        <v>6.37</v>
      </c>
      <c r="AJ204" s="24">
        <v>5.7409999999999997</v>
      </c>
      <c r="AK204" s="24">
        <v>6.4189999999999996</v>
      </c>
      <c r="AL204" s="24">
        <v>7.2270000000000003</v>
      </c>
      <c r="AM204" s="24">
        <v>9.6549999999999994</v>
      </c>
    </row>
    <row r="205" spans="1:39" x14ac:dyDescent="0.2">
      <c r="A205" s="24">
        <v>9.7430000000000003</v>
      </c>
      <c r="S205" s="1"/>
      <c r="AD205" s="24">
        <v>4.6449999999999996</v>
      </c>
      <c r="AE205" s="24">
        <v>66.064999999999998</v>
      </c>
      <c r="AF205" s="24">
        <v>9.7430000000000003</v>
      </c>
      <c r="AG205" s="24">
        <v>33.363</v>
      </c>
      <c r="AH205" s="24">
        <v>6.37</v>
      </c>
      <c r="AI205" s="24">
        <v>5.7409999999999997</v>
      </c>
      <c r="AJ205" s="24">
        <v>6.4189999999999996</v>
      </c>
      <c r="AK205" s="24">
        <v>7.2270000000000003</v>
      </c>
      <c r="AL205" s="24">
        <v>9.6549999999999994</v>
      </c>
      <c r="AM205" s="24">
        <v>15.372999999999999</v>
      </c>
    </row>
    <row r="206" spans="1:39" x14ac:dyDescent="0.2">
      <c r="A206" s="24">
        <v>33.363</v>
      </c>
      <c r="S206" s="1"/>
      <c r="AD206" s="24">
        <v>66.064999999999998</v>
      </c>
      <c r="AE206" s="24">
        <v>9.7430000000000003</v>
      </c>
      <c r="AF206" s="24">
        <v>33.363</v>
      </c>
      <c r="AG206" s="24">
        <v>6.37</v>
      </c>
      <c r="AH206" s="24">
        <v>5.7409999999999997</v>
      </c>
      <c r="AI206" s="24">
        <v>6.4189999999999996</v>
      </c>
      <c r="AJ206" s="24">
        <v>7.2270000000000003</v>
      </c>
      <c r="AK206" s="24">
        <v>9.6549999999999994</v>
      </c>
      <c r="AL206" s="24">
        <v>15.372999999999999</v>
      </c>
      <c r="AM206" s="24">
        <v>27.791</v>
      </c>
    </row>
    <row r="207" spans="1:39" x14ac:dyDescent="0.2">
      <c r="A207" s="24">
        <v>6.37</v>
      </c>
      <c r="S207" s="1"/>
      <c r="AD207" s="24">
        <v>9.7430000000000003</v>
      </c>
      <c r="AE207" s="24">
        <v>33.363</v>
      </c>
      <c r="AF207" s="24">
        <v>6.37</v>
      </c>
      <c r="AG207" s="24">
        <v>5.7409999999999997</v>
      </c>
      <c r="AH207" s="24">
        <v>6.4189999999999996</v>
      </c>
      <c r="AI207" s="24">
        <v>7.2270000000000003</v>
      </c>
      <c r="AJ207" s="24">
        <v>9.6549999999999994</v>
      </c>
      <c r="AK207" s="24">
        <v>15.372999999999999</v>
      </c>
      <c r="AL207" s="24">
        <v>27.791</v>
      </c>
      <c r="AM207" s="24">
        <v>5.0540000000000003</v>
      </c>
    </row>
    <row r="208" spans="1:39" x14ac:dyDescent="0.2">
      <c r="A208" s="24">
        <v>5.7409999999999997</v>
      </c>
      <c r="S208" s="1"/>
      <c r="AD208" s="24">
        <v>33.363</v>
      </c>
      <c r="AE208" s="24">
        <v>6.37</v>
      </c>
      <c r="AF208" s="24">
        <v>5.7409999999999997</v>
      </c>
      <c r="AG208" s="24">
        <v>6.4189999999999996</v>
      </c>
      <c r="AH208" s="24">
        <v>7.2270000000000003</v>
      </c>
      <c r="AI208" s="24">
        <v>9.6549999999999994</v>
      </c>
      <c r="AJ208" s="24">
        <v>15.372999999999999</v>
      </c>
      <c r="AK208" s="24">
        <v>27.791</v>
      </c>
      <c r="AL208" s="24">
        <v>5.0540000000000003</v>
      </c>
      <c r="AM208" s="24">
        <v>5.83</v>
      </c>
    </row>
    <row r="209" spans="1:39" x14ac:dyDescent="0.2">
      <c r="A209" s="24">
        <v>6.4189999999999996</v>
      </c>
      <c r="S209" s="1"/>
      <c r="AD209" s="24">
        <v>6.37</v>
      </c>
      <c r="AE209" s="24">
        <v>5.7409999999999997</v>
      </c>
      <c r="AF209" s="24">
        <v>6.4189999999999996</v>
      </c>
      <c r="AG209" s="24">
        <v>7.2270000000000003</v>
      </c>
      <c r="AH209" s="24">
        <v>9.6549999999999994</v>
      </c>
      <c r="AI209" s="24">
        <v>15.372999999999999</v>
      </c>
      <c r="AJ209" s="24">
        <v>27.791</v>
      </c>
      <c r="AK209" s="24">
        <v>5.0540000000000003</v>
      </c>
      <c r="AL209" s="24">
        <v>5.83</v>
      </c>
      <c r="AM209" s="24">
        <v>5.3760000000000003</v>
      </c>
    </row>
    <row r="210" spans="1:39" x14ac:dyDescent="0.2">
      <c r="A210" s="24">
        <v>7.2270000000000003</v>
      </c>
      <c r="S210" s="1"/>
      <c r="AD210" s="24">
        <v>5.7409999999999997</v>
      </c>
      <c r="AE210" s="24">
        <v>6.4189999999999996</v>
      </c>
      <c r="AF210" s="24">
        <v>7.2270000000000003</v>
      </c>
      <c r="AG210" s="24">
        <v>9.6549999999999994</v>
      </c>
      <c r="AH210" s="24">
        <v>15.372999999999999</v>
      </c>
      <c r="AI210" s="24">
        <v>27.791</v>
      </c>
      <c r="AJ210" s="24">
        <v>5.0540000000000003</v>
      </c>
      <c r="AK210" s="24">
        <v>5.83</v>
      </c>
      <c r="AL210" s="24">
        <v>5.3760000000000003</v>
      </c>
      <c r="AM210" s="24">
        <v>5.7160000000000002</v>
      </c>
    </row>
    <row r="211" spans="1:39" x14ac:dyDescent="0.2">
      <c r="A211" s="24">
        <v>9.6549999999999994</v>
      </c>
      <c r="S211" s="1"/>
      <c r="AD211" s="24">
        <v>6.4189999999999996</v>
      </c>
      <c r="AE211" s="24">
        <v>7.2270000000000003</v>
      </c>
      <c r="AF211" s="24">
        <v>9.6549999999999994</v>
      </c>
      <c r="AG211" s="24">
        <v>15.372999999999999</v>
      </c>
      <c r="AH211" s="24">
        <v>27.791</v>
      </c>
      <c r="AI211" s="24">
        <v>5.0540000000000003</v>
      </c>
      <c r="AJ211" s="24">
        <v>5.83</v>
      </c>
      <c r="AK211" s="24">
        <v>5.3760000000000003</v>
      </c>
      <c r="AL211" s="24">
        <v>5.7160000000000002</v>
      </c>
      <c r="AM211" s="24">
        <v>8.5039999999999996</v>
      </c>
    </row>
    <row r="212" spans="1:39" x14ac:dyDescent="0.2">
      <c r="A212" s="24">
        <v>15.372999999999999</v>
      </c>
      <c r="S212" s="1"/>
      <c r="AD212" s="24">
        <v>7.2270000000000003</v>
      </c>
      <c r="AE212" s="24">
        <v>9.6549999999999994</v>
      </c>
      <c r="AF212" s="24">
        <v>15.372999999999999</v>
      </c>
      <c r="AG212" s="24">
        <v>27.791</v>
      </c>
      <c r="AH212" s="24">
        <v>5.0540000000000003</v>
      </c>
      <c r="AI212" s="24">
        <v>5.83</v>
      </c>
      <c r="AJ212" s="24">
        <v>5.3760000000000003</v>
      </c>
      <c r="AK212" s="24">
        <v>5.7160000000000002</v>
      </c>
      <c r="AL212" s="24">
        <v>8.5039999999999996</v>
      </c>
      <c r="AM212" s="24">
        <v>6.1369999999999996</v>
      </c>
    </row>
    <row r="213" spans="1:39" x14ac:dyDescent="0.2">
      <c r="A213" s="24">
        <v>27.791</v>
      </c>
      <c r="S213" s="1"/>
      <c r="AD213" s="24">
        <v>9.6549999999999994</v>
      </c>
      <c r="AE213" s="24">
        <v>15.372999999999999</v>
      </c>
      <c r="AF213" s="24">
        <v>27.791</v>
      </c>
      <c r="AG213" s="24">
        <v>5.0540000000000003</v>
      </c>
      <c r="AH213" s="24">
        <v>5.83</v>
      </c>
      <c r="AI213" s="24">
        <v>5.3760000000000003</v>
      </c>
      <c r="AJ213" s="24">
        <v>5.7160000000000002</v>
      </c>
      <c r="AK213" s="24">
        <v>8.5039999999999996</v>
      </c>
      <c r="AL213" s="24">
        <v>6.1369999999999996</v>
      </c>
      <c r="AM213" s="24">
        <v>4.6159999999999997</v>
      </c>
    </row>
    <row r="214" spans="1:39" x14ac:dyDescent="0.2">
      <c r="A214" s="24">
        <v>5.0540000000000003</v>
      </c>
      <c r="S214" s="1"/>
      <c r="AD214" s="24">
        <v>15.372999999999999</v>
      </c>
      <c r="AE214" s="24">
        <v>27.791</v>
      </c>
      <c r="AF214" s="24">
        <v>5.0540000000000003</v>
      </c>
      <c r="AG214" s="24">
        <v>5.83</v>
      </c>
      <c r="AH214" s="24">
        <v>5.3760000000000003</v>
      </c>
      <c r="AI214" s="24">
        <v>5.7160000000000002</v>
      </c>
      <c r="AJ214" s="24">
        <v>8.5039999999999996</v>
      </c>
      <c r="AK214" s="24">
        <v>6.1369999999999996</v>
      </c>
      <c r="AL214" s="24">
        <v>4.6159999999999997</v>
      </c>
      <c r="AM214" s="24">
        <v>4.99</v>
      </c>
    </row>
    <row r="215" spans="1:39" x14ac:dyDescent="0.2">
      <c r="A215" s="24">
        <v>5.83</v>
      </c>
      <c r="S215" s="1"/>
      <c r="AD215" s="24">
        <v>27.791</v>
      </c>
      <c r="AE215" s="24">
        <v>5.0540000000000003</v>
      </c>
      <c r="AF215" s="24">
        <v>5.83</v>
      </c>
      <c r="AG215" s="24">
        <v>5.3760000000000003</v>
      </c>
      <c r="AH215" s="24">
        <v>5.7160000000000002</v>
      </c>
      <c r="AI215" s="24">
        <v>8.5039999999999996</v>
      </c>
      <c r="AJ215" s="24">
        <v>6.1369999999999996</v>
      </c>
      <c r="AK215" s="24">
        <v>4.6159999999999997</v>
      </c>
      <c r="AL215" s="24">
        <v>4.99</v>
      </c>
      <c r="AM215" s="24">
        <v>26.254999999999999</v>
      </c>
    </row>
    <row r="216" spans="1:39" x14ac:dyDescent="0.2">
      <c r="A216" s="24">
        <v>5.3760000000000003</v>
      </c>
      <c r="S216" s="1"/>
      <c r="AD216" s="24">
        <v>5.0540000000000003</v>
      </c>
      <c r="AE216" s="24">
        <v>5.83</v>
      </c>
      <c r="AF216" s="24">
        <v>5.3760000000000003</v>
      </c>
      <c r="AG216" s="24">
        <v>5.7160000000000002</v>
      </c>
      <c r="AH216" s="24">
        <v>8.5039999999999996</v>
      </c>
      <c r="AI216" s="24">
        <v>6.1369999999999996</v>
      </c>
      <c r="AJ216" s="24">
        <v>4.6159999999999997</v>
      </c>
      <c r="AK216" s="24">
        <v>4.99</v>
      </c>
      <c r="AL216" s="24">
        <v>26.254999999999999</v>
      </c>
      <c r="AM216" s="24">
        <v>5.734</v>
      </c>
    </row>
    <row r="217" spans="1:39" x14ac:dyDescent="0.2">
      <c r="A217" s="24">
        <v>5.7160000000000002</v>
      </c>
      <c r="S217" s="1"/>
      <c r="AD217" s="24">
        <v>5.83</v>
      </c>
      <c r="AE217" s="24">
        <v>5.3760000000000003</v>
      </c>
      <c r="AF217" s="24">
        <v>5.7160000000000002</v>
      </c>
      <c r="AG217" s="24">
        <v>8.5039999999999996</v>
      </c>
      <c r="AH217" s="24">
        <v>6.1369999999999996</v>
      </c>
      <c r="AI217" s="24">
        <v>4.6159999999999997</v>
      </c>
      <c r="AJ217" s="24">
        <v>4.99</v>
      </c>
      <c r="AK217" s="24">
        <v>26.254999999999999</v>
      </c>
      <c r="AL217" s="24">
        <v>5.734</v>
      </c>
      <c r="AM217" s="24">
        <v>4.7939999999999996</v>
      </c>
    </row>
    <row r="218" spans="1:39" x14ac:dyDescent="0.2">
      <c r="A218" s="24">
        <v>8.5039999999999996</v>
      </c>
      <c r="S218" s="1"/>
      <c r="AD218" s="24">
        <v>5.3760000000000003</v>
      </c>
      <c r="AE218" s="24">
        <v>5.7160000000000002</v>
      </c>
      <c r="AF218" s="24">
        <v>8.5039999999999996</v>
      </c>
      <c r="AG218" s="24">
        <v>6.1369999999999996</v>
      </c>
      <c r="AH218" s="24">
        <v>4.6159999999999997</v>
      </c>
      <c r="AI218" s="24">
        <v>4.99</v>
      </c>
      <c r="AJ218" s="24">
        <v>26.254999999999999</v>
      </c>
      <c r="AK218" s="24">
        <v>5.734</v>
      </c>
      <c r="AL218" s="24">
        <v>4.7939999999999996</v>
      </c>
      <c r="AM218" s="24">
        <v>6.9160000000000004</v>
      </c>
    </row>
    <row r="219" spans="1:39" x14ac:dyDescent="0.2">
      <c r="A219" s="24">
        <v>6.1369999999999996</v>
      </c>
      <c r="S219" s="1"/>
      <c r="AD219" s="24">
        <v>5.7160000000000002</v>
      </c>
      <c r="AE219" s="24">
        <v>8.5039999999999996</v>
      </c>
      <c r="AF219" s="24">
        <v>6.1369999999999996</v>
      </c>
      <c r="AG219" s="24">
        <v>4.6159999999999997</v>
      </c>
      <c r="AH219" s="24">
        <v>4.99</v>
      </c>
      <c r="AI219" s="24">
        <v>26.254999999999999</v>
      </c>
      <c r="AJ219" s="24">
        <v>5.734</v>
      </c>
      <c r="AK219" s="24">
        <v>4.7939999999999996</v>
      </c>
      <c r="AL219" s="24">
        <v>6.9160000000000004</v>
      </c>
      <c r="AM219" s="24">
        <v>6.6029999999999998</v>
      </c>
    </row>
    <row r="220" spans="1:39" x14ac:dyDescent="0.2">
      <c r="A220" s="24">
        <v>4.6159999999999997</v>
      </c>
      <c r="S220" s="1"/>
      <c r="AD220" s="24">
        <v>8.5039999999999996</v>
      </c>
      <c r="AE220" s="24">
        <v>6.1369999999999996</v>
      </c>
      <c r="AF220" s="24">
        <v>4.6159999999999997</v>
      </c>
      <c r="AG220" s="24">
        <v>4.99</v>
      </c>
      <c r="AH220" s="24">
        <v>26.254999999999999</v>
      </c>
      <c r="AI220" s="24">
        <v>5.734</v>
      </c>
      <c r="AJ220" s="24">
        <v>4.7939999999999996</v>
      </c>
      <c r="AK220" s="24">
        <v>6.9160000000000004</v>
      </c>
      <c r="AL220" s="24">
        <v>6.6029999999999998</v>
      </c>
      <c r="AM220" s="24">
        <v>8.3130000000000006</v>
      </c>
    </row>
    <row r="221" spans="1:39" x14ac:dyDescent="0.2">
      <c r="A221" s="24">
        <v>4.99</v>
      </c>
      <c r="S221" s="1"/>
      <c r="AD221" s="24">
        <v>6.1369999999999996</v>
      </c>
      <c r="AE221" s="24">
        <v>4.6159999999999997</v>
      </c>
      <c r="AF221" s="24">
        <v>4.99</v>
      </c>
      <c r="AG221" s="24">
        <v>26.254999999999999</v>
      </c>
      <c r="AH221" s="24">
        <v>5.734</v>
      </c>
      <c r="AI221" s="24">
        <v>4.7939999999999996</v>
      </c>
      <c r="AJ221" s="24">
        <v>6.9160000000000004</v>
      </c>
      <c r="AK221" s="24">
        <v>6.6029999999999998</v>
      </c>
      <c r="AL221" s="24">
        <v>8.3130000000000006</v>
      </c>
      <c r="AM221" s="24">
        <v>8.7620000000000005</v>
      </c>
    </row>
    <row r="222" spans="1:39" x14ac:dyDescent="0.2">
      <c r="A222" s="24">
        <v>26.254999999999999</v>
      </c>
      <c r="S222" s="1"/>
      <c r="AD222" s="24">
        <v>4.6159999999999997</v>
      </c>
      <c r="AE222" s="24">
        <v>4.99</v>
      </c>
      <c r="AF222" s="24">
        <v>26.254999999999999</v>
      </c>
      <c r="AG222" s="24">
        <v>5.734</v>
      </c>
      <c r="AH222" s="24">
        <v>4.7939999999999996</v>
      </c>
      <c r="AI222" s="24">
        <v>6.9160000000000004</v>
      </c>
      <c r="AJ222" s="24">
        <v>6.6029999999999998</v>
      </c>
      <c r="AK222" s="24">
        <v>8.3130000000000006</v>
      </c>
      <c r="AL222" s="24">
        <v>8.7620000000000005</v>
      </c>
      <c r="AM222" s="24">
        <v>44.622999999999998</v>
      </c>
    </row>
    <row r="223" spans="1:39" x14ac:dyDescent="0.2">
      <c r="A223" s="24">
        <v>5.734</v>
      </c>
      <c r="S223" s="1"/>
      <c r="AD223" s="24">
        <v>4.99</v>
      </c>
      <c r="AE223" s="24">
        <v>26.254999999999999</v>
      </c>
      <c r="AF223" s="24">
        <v>5.734</v>
      </c>
      <c r="AG223" s="24">
        <v>4.7939999999999996</v>
      </c>
      <c r="AH223" s="24">
        <v>6.9160000000000004</v>
      </c>
      <c r="AI223" s="24">
        <v>6.6029999999999998</v>
      </c>
      <c r="AJ223" s="24">
        <v>8.3130000000000006</v>
      </c>
      <c r="AK223" s="24">
        <v>8.7620000000000005</v>
      </c>
      <c r="AL223" s="24">
        <v>44.622999999999998</v>
      </c>
      <c r="AM223" s="24">
        <v>4.6349999999999998</v>
      </c>
    </row>
    <row r="224" spans="1:39" x14ac:dyDescent="0.2">
      <c r="A224" s="24">
        <v>4.7939999999999996</v>
      </c>
      <c r="S224" s="1"/>
      <c r="AD224" s="24">
        <v>26.254999999999999</v>
      </c>
      <c r="AE224" s="24">
        <v>5.734</v>
      </c>
      <c r="AF224" s="24">
        <v>4.7939999999999996</v>
      </c>
      <c r="AG224" s="24">
        <v>6.9160000000000004</v>
      </c>
      <c r="AH224" s="24">
        <v>6.6029999999999998</v>
      </c>
      <c r="AI224" s="24">
        <v>8.3130000000000006</v>
      </c>
      <c r="AJ224" s="24">
        <v>8.7620000000000005</v>
      </c>
      <c r="AK224" s="24">
        <v>44.622999999999998</v>
      </c>
      <c r="AL224" s="24">
        <v>4.6349999999999998</v>
      </c>
      <c r="AM224" s="24">
        <v>8.7010000000000005</v>
      </c>
    </row>
    <row r="225" spans="1:39" x14ac:dyDescent="0.2">
      <c r="A225" s="24">
        <v>6.9160000000000004</v>
      </c>
      <c r="S225" s="1"/>
      <c r="AD225" s="24">
        <v>5.734</v>
      </c>
      <c r="AE225" s="24">
        <v>4.7939999999999996</v>
      </c>
      <c r="AF225" s="24">
        <v>6.9160000000000004</v>
      </c>
      <c r="AG225" s="24">
        <v>6.6029999999999998</v>
      </c>
      <c r="AH225" s="24">
        <v>8.3130000000000006</v>
      </c>
      <c r="AI225" s="24">
        <v>8.7620000000000005</v>
      </c>
      <c r="AJ225" s="24">
        <v>44.622999999999998</v>
      </c>
      <c r="AK225" s="24">
        <v>4.6349999999999998</v>
      </c>
      <c r="AL225" s="24">
        <v>8.7010000000000005</v>
      </c>
      <c r="AM225" s="24">
        <v>49.372999999999998</v>
      </c>
    </row>
    <row r="226" spans="1:39" x14ac:dyDescent="0.2">
      <c r="A226" s="24">
        <v>6.6029999999999998</v>
      </c>
      <c r="S226" s="1"/>
      <c r="AD226" s="24">
        <v>4.7939999999999996</v>
      </c>
      <c r="AE226" s="24">
        <v>6.9160000000000004</v>
      </c>
      <c r="AF226" s="24">
        <v>6.6029999999999998</v>
      </c>
      <c r="AG226" s="24">
        <v>8.3130000000000006</v>
      </c>
      <c r="AH226" s="24">
        <v>8.7620000000000005</v>
      </c>
      <c r="AI226" s="24">
        <v>44.622999999999998</v>
      </c>
      <c r="AJ226" s="24">
        <v>4.6349999999999998</v>
      </c>
      <c r="AK226" s="24">
        <v>8.7010000000000005</v>
      </c>
      <c r="AL226" s="24">
        <v>49.372999999999998</v>
      </c>
      <c r="AM226" s="24">
        <v>9.202</v>
      </c>
    </row>
    <row r="227" spans="1:39" x14ac:dyDescent="0.2">
      <c r="A227" s="24">
        <v>8.3130000000000006</v>
      </c>
      <c r="S227" s="1"/>
      <c r="AD227" s="24">
        <v>6.9160000000000004</v>
      </c>
      <c r="AE227" s="24">
        <v>6.6029999999999998</v>
      </c>
      <c r="AF227" s="24">
        <v>8.3130000000000006</v>
      </c>
      <c r="AG227" s="24">
        <v>8.7620000000000005</v>
      </c>
      <c r="AH227" s="24">
        <v>44.622999999999998</v>
      </c>
      <c r="AI227" s="24">
        <v>4.6349999999999998</v>
      </c>
      <c r="AJ227" s="24">
        <v>8.7010000000000005</v>
      </c>
      <c r="AK227" s="24">
        <v>49.372999999999998</v>
      </c>
      <c r="AL227" s="24">
        <v>9.202</v>
      </c>
      <c r="AM227" s="24">
        <v>9.3230000000000004</v>
      </c>
    </row>
    <row r="228" spans="1:39" x14ac:dyDescent="0.2">
      <c r="A228" s="24">
        <v>8.7620000000000005</v>
      </c>
      <c r="S228" s="1"/>
      <c r="AD228" s="24">
        <v>6.6029999999999998</v>
      </c>
      <c r="AE228" s="24">
        <v>8.3130000000000006</v>
      </c>
      <c r="AF228" s="24">
        <v>8.7620000000000005</v>
      </c>
      <c r="AG228" s="24">
        <v>44.622999999999998</v>
      </c>
      <c r="AH228" s="24">
        <v>4.6349999999999998</v>
      </c>
      <c r="AI228" s="24">
        <v>8.7010000000000005</v>
      </c>
      <c r="AJ228" s="24">
        <v>49.372999999999998</v>
      </c>
      <c r="AK228" s="24">
        <v>9.202</v>
      </c>
      <c r="AL228" s="24">
        <v>9.3230000000000004</v>
      </c>
      <c r="AM228" s="24">
        <v>6.9790000000000001</v>
      </c>
    </row>
    <row r="229" spans="1:39" x14ac:dyDescent="0.2">
      <c r="A229" s="24">
        <v>44.622999999999998</v>
      </c>
      <c r="S229" s="1"/>
      <c r="AD229" s="24">
        <v>8.3130000000000006</v>
      </c>
      <c r="AE229" s="24">
        <v>8.7620000000000005</v>
      </c>
      <c r="AF229" s="24">
        <v>44.622999999999998</v>
      </c>
      <c r="AG229" s="24">
        <v>4.6349999999999998</v>
      </c>
      <c r="AH229" s="24">
        <v>8.7010000000000005</v>
      </c>
      <c r="AI229" s="24">
        <v>49.372999999999998</v>
      </c>
      <c r="AJ229" s="24">
        <v>9.202</v>
      </c>
      <c r="AK229" s="24">
        <v>9.3230000000000004</v>
      </c>
      <c r="AL229" s="24">
        <v>6.9790000000000001</v>
      </c>
      <c r="AM229" s="24">
        <v>5.806</v>
      </c>
    </row>
    <row r="230" spans="1:39" x14ac:dyDescent="0.2">
      <c r="A230" s="24">
        <v>4.6349999999999998</v>
      </c>
      <c r="S230" s="1"/>
      <c r="AD230" s="24">
        <v>8.7620000000000005</v>
      </c>
      <c r="AE230" s="24">
        <v>44.622999999999998</v>
      </c>
      <c r="AF230" s="24">
        <v>4.6349999999999998</v>
      </c>
      <c r="AG230" s="24">
        <v>8.7010000000000005</v>
      </c>
      <c r="AH230" s="24">
        <v>49.372999999999998</v>
      </c>
      <c r="AI230" s="24">
        <v>9.202</v>
      </c>
      <c r="AJ230" s="24">
        <v>9.3230000000000004</v>
      </c>
      <c r="AK230" s="24">
        <v>6.9790000000000001</v>
      </c>
      <c r="AL230" s="24">
        <v>5.806</v>
      </c>
      <c r="AM230" s="24">
        <v>5.87</v>
      </c>
    </row>
    <row r="231" spans="1:39" x14ac:dyDescent="0.2">
      <c r="A231" s="24">
        <v>8.7010000000000005</v>
      </c>
      <c r="S231" s="1"/>
      <c r="AD231" s="24">
        <v>44.622999999999998</v>
      </c>
      <c r="AE231" s="24">
        <v>4.6349999999999998</v>
      </c>
      <c r="AF231" s="24">
        <v>8.7010000000000005</v>
      </c>
      <c r="AG231" s="24">
        <v>49.372999999999998</v>
      </c>
      <c r="AH231" s="24">
        <v>9.202</v>
      </c>
      <c r="AI231" s="24">
        <v>9.3230000000000004</v>
      </c>
      <c r="AJ231" s="24">
        <v>6.9790000000000001</v>
      </c>
      <c r="AK231" s="24">
        <v>5.806</v>
      </c>
      <c r="AL231" s="24">
        <v>5.87</v>
      </c>
      <c r="AM231" s="24">
        <v>9.718</v>
      </c>
    </row>
    <row r="232" spans="1:39" x14ac:dyDescent="0.2">
      <c r="A232" s="24">
        <v>49.372999999999998</v>
      </c>
      <c r="S232" s="1"/>
      <c r="AD232" s="24">
        <v>4.6349999999999998</v>
      </c>
      <c r="AE232" s="24">
        <v>8.7010000000000005</v>
      </c>
      <c r="AF232" s="24">
        <v>49.372999999999998</v>
      </c>
      <c r="AG232" s="24">
        <v>9.202</v>
      </c>
      <c r="AH232" s="24">
        <v>9.3230000000000004</v>
      </c>
      <c r="AI232" s="24">
        <v>6.9790000000000001</v>
      </c>
      <c r="AJ232" s="24">
        <v>5.806</v>
      </c>
      <c r="AK232" s="24">
        <v>5.87</v>
      </c>
      <c r="AL232" s="24">
        <v>9.718</v>
      </c>
      <c r="AM232" s="24">
        <v>4.6879999999999997</v>
      </c>
    </row>
    <row r="233" spans="1:39" x14ac:dyDescent="0.2">
      <c r="A233" s="24">
        <v>9.202</v>
      </c>
      <c r="S233" s="1"/>
      <c r="AD233" s="24">
        <v>8.7010000000000005</v>
      </c>
      <c r="AE233" s="24">
        <v>49.372999999999998</v>
      </c>
      <c r="AF233" s="24">
        <v>9.202</v>
      </c>
      <c r="AG233" s="24">
        <v>9.3230000000000004</v>
      </c>
      <c r="AH233" s="24">
        <v>6.9790000000000001</v>
      </c>
      <c r="AI233" s="24">
        <v>5.806</v>
      </c>
      <c r="AJ233" s="24">
        <v>5.87</v>
      </c>
      <c r="AK233" s="24">
        <v>9.718</v>
      </c>
      <c r="AL233" s="24">
        <v>4.6879999999999997</v>
      </c>
      <c r="AM233" s="24">
        <v>5.0359999999999996</v>
      </c>
    </row>
    <row r="234" spans="1:39" x14ac:dyDescent="0.2">
      <c r="A234" s="24">
        <v>9.3230000000000004</v>
      </c>
      <c r="S234" s="1"/>
      <c r="AD234" s="24">
        <v>49.372999999999998</v>
      </c>
      <c r="AE234" s="24">
        <v>9.202</v>
      </c>
      <c r="AF234" s="24">
        <v>9.3230000000000004</v>
      </c>
      <c r="AG234" s="24">
        <v>6.9790000000000001</v>
      </c>
      <c r="AH234" s="24">
        <v>5.806</v>
      </c>
      <c r="AI234" s="24">
        <v>5.87</v>
      </c>
      <c r="AJ234" s="24">
        <v>9.718</v>
      </c>
      <c r="AK234" s="24">
        <v>4.6879999999999997</v>
      </c>
      <c r="AL234" s="24">
        <v>5.0359999999999996</v>
      </c>
      <c r="AM234" s="24">
        <v>5.5469999999999997</v>
      </c>
    </row>
    <row r="235" spans="1:39" x14ac:dyDescent="0.2">
      <c r="A235" s="24">
        <v>6.9790000000000001</v>
      </c>
      <c r="S235" s="1"/>
      <c r="AD235" s="24">
        <v>9.202</v>
      </c>
      <c r="AE235" s="24">
        <v>9.3230000000000004</v>
      </c>
      <c r="AF235" s="24">
        <v>6.9790000000000001</v>
      </c>
      <c r="AG235" s="24">
        <v>5.806</v>
      </c>
      <c r="AH235" s="24">
        <v>5.87</v>
      </c>
      <c r="AI235" s="24">
        <v>9.718</v>
      </c>
      <c r="AJ235" s="24">
        <v>4.6879999999999997</v>
      </c>
      <c r="AK235" s="24">
        <v>5.0359999999999996</v>
      </c>
      <c r="AL235" s="24">
        <v>5.5469999999999997</v>
      </c>
      <c r="AM235" s="24">
        <v>7.4660000000000002</v>
      </c>
    </row>
    <row r="236" spans="1:39" x14ac:dyDescent="0.2">
      <c r="A236" s="24">
        <v>5.806</v>
      </c>
      <c r="S236" s="1"/>
      <c r="AD236" s="24">
        <v>9.3230000000000004</v>
      </c>
      <c r="AE236" s="24">
        <v>6.9790000000000001</v>
      </c>
      <c r="AF236" s="24">
        <v>5.806</v>
      </c>
      <c r="AG236" s="24">
        <v>5.87</v>
      </c>
      <c r="AH236" s="24">
        <v>9.718</v>
      </c>
      <c r="AI236" s="24">
        <v>4.6879999999999997</v>
      </c>
      <c r="AJ236" s="24">
        <v>5.0359999999999996</v>
      </c>
      <c r="AK236" s="24">
        <v>5.5469999999999997</v>
      </c>
      <c r="AL236" s="24">
        <v>7.4660000000000002</v>
      </c>
      <c r="AM236" s="24">
        <v>7.4260000000000002</v>
      </c>
    </row>
    <row r="237" spans="1:39" x14ac:dyDescent="0.2">
      <c r="A237" s="24">
        <v>5.87</v>
      </c>
      <c r="S237" s="1"/>
      <c r="AD237" s="24">
        <v>6.9790000000000001</v>
      </c>
      <c r="AE237" s="24">
        <v>5.806</v>
      </c>
      <c r="AF237" s="24">
        <v>5.87</v>
      </c>
      <c r="AG237" s="24">
        <v>9.718</v>
      </c>
      <c r="AH237" s="24">
        <v>4.6879999999999997</v>
      </c>
      <c r="AI237" s="24">
        <v>5.0359999999999996</v>
      </c>
      <c r="AJ237" s="24">
        <v>5.5469999999999997</v>
      </c>
      <c r="AK237" s="24">
        <v>7.4660000000000002</v>
      </c>
      <c r="AL237" s="24">
        <v>7.4260000000000002</v>
      </c>
      <c r="AM237" s="24">
        <v>4.6550000000000002</v>
      </c>
    </row>
    <row r="238" spans="1:39" x14ac:dyDescent="0.2">
      <c r="A238" s="24">
        <v>9.718</v>
      </c>
      <c r="S238" s="1"/>
      <c r="AD238" s="24">
        <v>5.806</v>
      </c>
      <c r="AE238" s="24">
        <v>5.87</v>
      </c>
      <c r="AF238" s="24">
        <v>9.718</v>
      </c>
      <c r="AG238" s="24">
        <v>4.6879999999999997</v>
      </c>
      <c r="AH238" s="24">
        <v>5.0359999999999996</v>
      </c>
      <c r="AI238" s="24">
        <v>5.5469999999999997</v>
      </c>
      <c r="AJ238" s="24">
        <v>7.4660000000000002</v>
      </c>
      <c r="AK238" s="24">
        <v>7.4260000000000002</v>
      </c>
      <c r="AL238" s="24">
        <v>4.6550000000000002</v>
      </c>
      <c r="AM238" s="24">
        <v>6.9420000000000002</v>
      </c>
    </row>
    <row r="239" spans="1:39" x14ac:dyDescent="0.2">
      <c r="A239" s="24">
        <v>4.6879999999999997</v>
      </c>
      <c r="S239" s="1"/>
      <c r="AD239" s="24">
        <v>5.87</v>
      </c>
      <c r="AE239" s="24">
        <v>9.718</v>
      </c>
      <c r="AF239" s="24">
        <v>4.6879999999999997</v>
      </c>
      <c r="AG239" s="24">
        <v>5.0359999999999996</v>
      </c>
      <c r="AH239" s="24">
        <v>5.5469999999999997</v>
      </c>
      <c r="AI239" s="24">
        <v>7.4660000000000002</v>
      </c>
      <c r="AJ239" s="24">
        <v>7.4260000000000002</v>
      </c>
      <c r="AK239" s="24">
        <v>4.6550000000000002</v>
      </c>
      <c r="AL239" s="24">
        <v>6.9420000000000002</v>
      </c>
      <c r="AM239" s="24">
        <v>5.0910000000000002</v>
      </c>
    </row>
    <row r="240" spans="1:39" x14ac:dyDescent="0.2">
      <c r="A240" s="24">
        <v>5.0359999999999996</v>
      </c>
      <c r="S240" s="1"/>
      <c r="AD240" s="24">
        <v>9.718</v>
      </c>
      <c r="AE240" s="24">
        <v>4.6879999999999997</v>
      </c>
      <c r="AF240" s="24">
        <v>5.0359999999999996</v>
      </c>
      <c r="AG240" s="24">
        <v>5.5469999999999997</v>
      </c>
      <c r="AH240" s="24">
        <v>7.4660000000000002</v>
      </c>
      <c r="AI240" s="24">
        <v>7.4260000000000002</v>
      </c>
      <c r="AJ240" s="24">
        <v>4.6550000000000002</v>
      </c>
      <c r="AK240" s="24">
        <v>6.9420000000000002</v>
      </c>
      <c r="AL240" s="24">
        <v>5.0910000000000002</v>
      </c>
      <c r="AM240" s="24">
        <v>4.6130000000000004</v>
      </c>
    </row>
    <row r="241" spans="1:39" x14ac:dyDescent="0.2">
      <c r="A241" s="24">
        <v>5.5469999999999997</v>
      </c>
      <c r="S241" s="1"/>
      <c r="AD241" s="24">
        <v>4.6879999999999997</v>
      </c>
      <c r="AE241" s="24">
        <v>5.0359999999999996</v>
      </c>
      <c r="AF241" s="24">
        <v>5.5469999999999997</v>
      </c>
      <c r="AG241" s="24">
        <v>7.4660000000000002</v>
      </c>
      <c r="AH241" s="24">
        <v>7.4260000000000002</v>
      </c>
      <c r="AI241" s="24">
        <v>4.6550000000000002</v>
      </c>
      <c r="AJ241" s="24">
        <v>6.9420000000000002</v>
      </c>
      <c r="AK241" s="24">
        <v>5.0910000000000002</v>
      </c>
      <c r="AL241" s="24">
        <v>4.6130000000000004</v>
      </c>
      <c r="AM241" s="24">
        <v>8.5050000000000008</v>
      </c>
    </row>
    <row r="242" spans="1:39" x14ac:dyDescent="0.2">
      <c r="A242" s="24">
        <v>7.4660000000000002</v>
      </c>
      <c r="S242" s="1"/>
      <c r="AD242" s="24">
        <v>5.0359999999999996</v>
      </c>
      <c r="AE242" s="24">
        <v>5.5469999999999997</v>
      </c>
      <c r="AF242" s="24">
        <v>7.4660000000000002</v>
      </c>
      <c r="AG242" s="24">
        <v>7.4260000000000002</v>
      </c>
      <c r="AH242" s="24">
        <v>4.6550000000000002</v>
      </c>
      <c r="AI242" s="24">
        <v>6.9420000000000002</v>
      </c>
      <c r="AJ242" s="24">
        <v>5.0910000000000002</v>
      </c>
      <c r="AK242" s="24">
        <v>4.6130000000000004</v>
      </c>
      <c r="AL242" s="24">
        <v>8.5050000000000008</v>
      </c>
      <c r="AM242" s="24">
        <v>4.8920000000000003</v>
      </c>
    </row>
    <row r="243" spans="1:39" x14ac:dyDescent="0.2">
      <c r="A243" s="24">
        <v>7.4260000000000002</v>
      </c>
      <c r="S243" s="1"/>
      <c r="AD243" s="24">
        <v>5.5469999999999997</v>
      </c>
      <c r="AE243" s="24">
        <v>7.4660000000000002</v>
      </c>
      <c r="AF243" s="24">
        <v>7.4260000000000002</v>
      </c>
      <c r="AG243" s="24">
        <v>4.6550000000000002</v>
      </c>
      <c r="AH243" s="24">
        <v>6.9420000000000002</v>
      </c>
      <c r="AI243" s="24">
        <v>5.0910000000000002</v>
      </c>
      <c r="AJ243" s="24">
        <v>4.6130000000000004</v>
      </c>
      <c r="AK243" s="24">
        <v>8.5050000000000008</v>
      </c>
      <c r="AL243" s="24">
        <v>4.8920000000000003</v>
      </c>
      <c r="AM243" s="24">
        <v>96.433999999999997</v>
      </c>
    </row>
    <row r="244" spans="1:39" x14ac:dyDescent="0.2">
      <c r="A244" s="24">
        <v>4.6550000000000002</v>
      </c>
      <c r="S244" s="1"/>
      <c r="AD244" s="24">
        <v>7.4660000000000002</v>
      </c>
      <c r="AE244" s="24">
        <v>7.4260000000000002</v>
      </c>
      <c r="AF244" s="24">
        <v>4.6550000000000002</v>
      </c>
      <c r="AG244" s="24">
        <v>6.9420000000000002</v>
      </c>
      <c r="AH244" s="24">
        <v>5.0910000000000002</v>
      </c>
      <c r="AI244" s="24">
        <v>4.6130000000000004</v>
      </c>
      <c r="AJ244" s="24">
        <v>8.5050000000000008</v>
      </c>
      <c r="AK244" s="24">
        <v>4.8920000000000003</v>
      </c>
      <c r="AL244" s="24">
        <v>96.433999999999997</v>
      </c>
      <c r="AM244" s="24">
        <v>9.5079999999999991</v>
      </c>
    </row>
    <row r="245" spans="1:39" x14ac:dyDescent="0.2">
      <c r="A245" s="24">
        <v>6.9420000000000002</v>
      </c>
      <c r="S245" s="1"/>
      <c r="AD245" s="24">
        <v>7.4260000000000002</v>
      </c>
      <c r="AE245" s="24">
        <v>4.6550000000000002</v>
      </c>
      <c r="AF245" s="24">
        <v>6.9420000000000002</v>
      </c>
      <c r="AG245" s="24">
        <v>5.0910000000000002</v>
      </c>
      <c r="AH245" s="24">
        <v>4.6130000000000004</v>
      </c>
      <c r="AI245" s="24">
        <v>8.5050000000000008</v>
      </c>
      <c r="AJ245" s="24">
        <v>4.8920000000000003</v>
      </c>
      <c r="AK245" s="24">
        <v>96.433999999999997</v>
      </c>
      <c r="AL245" s="24">
        <v>9.5079999999999991</v>
      </c>
      <c r="AM245" s="24">
        <v>7.2160000000000002</v>
      </c>
    </row>
    <row r="246" spans="1:39" x14ac:dyDescent="0.2">
      <c r="A246" s="24">
        <v>5.0910000000000002</v>
      </c>
      <c r="S246" s="1"/>
      <c r="AD246" s="24">
        <v>4.6550000000000002</v>
      </c>
      <c r="AE246" s="24">
        <v>6.9420000000000002</v>
      </c>
      <c r="AF246" s="24">
        <v>5.0910000000000002</v>
      </c>
      <c r="AG246" s="24">
        <v>4.6130000000000004</v>
      </c>
      <c r="AH246" s="24">
        <v>8.5050000000000008</v>
      </c>
      <c r="AI246" s="24">
        <v>4.8920000000000003</v>
      </c>
      <c r="AJ246" s="24">
        <v>96.433999999999997</v>
      </c>
      <c r="AK246" s="24">
        <v>9.5079999999999991</v>
      </c>
      <c r="AL246" s="24">
        <v>7.2160000000000002</v>
      </c>
      <c r="AM246" s="24">
        <v>9.5500000000000007</v>
      </c>
    </row>
    <row r="247" spans="1:39" x14ac:dyDescent="0.2">
      <c r="A247" s="24">
        <v>4.6130000000000004</v>
      </c>
      <c r="S247" s="1"/>
      <c r="AD247" s="24">
        <v>6.9420000000000002</v>
      </c>
      <c r="AE247" s="24">
        <v>5.0910000000000002</v>
      </c>
      <c r="AF247" s="24">
        <v>4.6130000000000004</v>
      </c>
      <c r="AG247" s="24">
        <v>8.5050000000000008</v>
      </c>
      <c r="AH247" s="24">
        <v>4.8920000000000003</v>
      </c>
      <c r="AI247" s="24">
        <v>96.433999999999997</v>
      </c>
      <c r="AJ247" s="24">
        <v>9.5079999999999991</v>
      </c>
      <c r="AK247" s="24">
        <v>7.2160000000000002</v>
      </c>
      <c r="AL247" s="24">
        <v>9.5500000000000007</v>
      </c>
      <c r="AM247" s="24">
        <v>4.9779999999999998</v>
      </c>
    </row>
    <row r="248" spans="1:39" x14ac:dyDescent="0.2">
      <c r="A248" s="24">
        <v>8.5050000000000008</v>
      </c>
      <c r="S248" s="1"/>
      <c r="AD248" s="24">
        <v>5.0910000000000002</v>
      </c>
      <c r="AE248" s="24">
        <v>4.6130000000000004</v>
      </c>
      <c r="AF248" s="24">
        <v>8.5050000000000008</v>
      </c>
      <c r="AG248" s="24">
        <v>4.8920000000000003</v>
      </c>
      <c r="AH248" s="24">
        <v>96.433999999999997</v>
      </c>
      <c r="AI248" s="24">
        <v>9.5079999999999991</v>
      </c>
      <c r="AJ248" s="24">
        <v>7.2160000000000002</v>
      </c>
      <c r="AK248" s="24">
        <v>9.5500000000000007</v>
      </c>
      <c r="AL248" s="24">
        <v>4.9779999999999998</v>
      </c>
      <c r="AM248" s="24">
        <v>8.891</v>
      </c>
    </row>
    <row r="249" spans="1:39" x14ac:dyDescent="0.2">
      <c r="A249" s="24">
        <v>4.8920000000000003</v>
      </c>
      <c r="S249" s="1"/>
      <c r="AD249" s="24">
        <v>4.6130000000000004</v>
      </c>
      <c r="AE249" s="24">
        <v>8.5050000000000008</v>
      </c>
      <c r="AF249" s="24">
        <v>4.8920000000000003</v>
      </c>
      <c r="AG249" s="24">
        <v>96.433999999999997</v>
      </c>
      <c r="AH249" s="24">
        <v>9.5079999999999991</v>
      </c>
      <c r="AI249" s="24">
        <v>7.2160000000000002</v>
      </c>
      <c r="AJ249" s="24">
        <v>9.5500000000000007</v>
      </c>
      <c r="AK249" s="24">
        <v>4.9779999999999998</v>
      </c>
      <c r="AL249" s="24">
        <v>8.891</v>
      </c>
      <c r="AM249" s="24">
        <v>273.30399999999997</v>
      </c>
    </row>
    <row r="250" spans="1:39" x14ac:dyDescent="0.2">
      <c r="A250" s="24">
        <v>96.433999999999997</v>
      </c>
      <c r="S250" s="1"/>
      <c r="AD250" s="24">
        <v>8.5050000000000008</v>
      </c>
      <c r="AE250" s="24">
        <v>4.8920000000000003</v>
      </c>
      <c r="AF250" s="24">
        <v>96.433999999999997</v>
      </c>
      <c r="AG250" s="24">
        <v>9.5079999999999991</v>
      </c>
      <c r="AH250" s="24">
        <v>7.2160000000000002</v>
      </c>
      <c r="AI250" s="24">
        <v>9.5500000000000007</v>
      </c>
      <c r="AJ250" s="24">
        <v>4.9779999999999998</v>
      </c>
      <c r="AK250" s="24">
        <v>8.891</v>
      </c>
      <c r="AL250" s="24">
        <v>273.30399999999997</v>
      </c>
      <c r="AM250" s="24">
        <v>66.930000000000007</v>
      </c>
    </row>
    <row r="251" spans="1:39" x14ac:dyDescent="0.2">
      <c r="A251" s="24">
        <v>9.5079999999999991</v>
      </c>
      <c r="S251" s="1"/>
      <c r="AD251" s="24">
        <v>4.8920000000000003</v>
      </c>
      <c r="AE251" s="24">
        <v>96.433999999999997</v>
      </c>
      <c r="AF251" s="24">
        <v>9.5079999999999991</v>
      </c>
      <c r="AG251" s="24">
        <v>7.2160000000000002</v>
      </c>
      <c r="AH251" s="24">
        <v>9.5500000000000007</v>
      </c>
      <c r="AI251" s="24">
        <v>4.9779999999999998</v>
      </c>
      <c r="AJ251" s="24">
        <v>8.891</v>
      </c>
      <c r="AK251" s="24">
        <v>273.30399999999997</v>
      </c>
      <c r="AL251" s="24">
        <v>66.930000000000007</v>
      </c>
      <c r="AM251" s="24">
        <v>9.27</v>
      </c>
    </row>
    <row r="252" spans="1:39" x14ac:dyDescent="0.2">
      <c r="A252" s="24">
        <v>7.2160000000000002</v>
      </c>
      <c r="S252" s="1"/>
      <c r="AD252" s="24">
        <v>96.433999999999997</v>
      </c>
      <c r="AE252" s="24">
        <v>9.5079999999999991</v>
      </c>
      <c r="AF252" s="24">
        <v>7.2160000000000002</v>
      </c>
      <c r="AG252" s="24">
        <v>9.5500000000000007</v>
      </c>
      <c r="AH252" s="24">
        <v>4.9779999999999998</v>
      </c>
      <c r="AI252" s="24">
        <v>8.891</v>
      </c>
      <c r="AJ252" s="24">
        <v>273.30399999999997</v>
      </c>
      <c r="AK252" s="24">
        <v>66.930000000000007</v>
      </c>
      <c r="AL252" s="24">
        <v>9.27</v>
      </c>
      <c r="AM252" s="24">
        <v>23.931999999999999</v>
      </c>
    </row>
    <row r="253" spans="1:39" x14ac:dyDescent="0.2">
      <c r="A253" s="24">
        <v>9.5500000000000007</v>
      </c>
      <c r="S253" s="1"/>
      <c r="AD253" s="24">
        <v>9.5079999999999991</v>
      </c>
      <c r="AE253" s="24">
        <v>7.2160000000000002</v>
      </c>
      <c r="AF253" s="24">
        <v>9.5500000000000007</v>
      </c>
      <c r="AG253" s="24">
        <v>4.9779999999999998</v>
      </c>
      <c r="AH253" s="24">
        <v>8.891</v>
      </c>
      <c r="AI253" s="24">
        <v>273.30399999999997</v>
      </c>
      <c r="AJ253" s="24">
        <v>66.930000000000007</v>
      </c>
      <c r="AK253" s="24">
        <v>9.27</v>
      </c>
      <c r="AL253" s="24">
        <v>23.931999999999999</v>
      </c>
      <c r="AM253" s="24">
        <v>55.281999999999996</v>
      </c>
    </row>
    <row r="254" spans="1:39" x14ac:dyDescent="0.2">
      <c r="A254" s="24">
        <v>4.9779999999999998</v>
      </c>
      <c r="S254" s="1"/>
      <c r="AD254" s="24">
        <v>7.2160000000000002</v>
      </c>
      <c r="AE254" s="24">
        <v>9.5500000000000007</v>
      </c>
      <c r="AF254" s="24">
        <v>4.9779999999999998</v>
      </c>
      <c r="AG254" s="24">
        <v>8.891</v>
      </c>
      <c r="AH254" s="24">
        <v>273.30399999999997</v>
      </c>
      <c r="AI254" s="24">
        <v>66.930000000000007</v>
      </c>
      <c r="AJ254" s="24">
        <v>9.27</v>
      </c>
      <c r="AK254" s="24">
        <v>23.931999999999999</v>
      </c>
      <c r="AL254" s="24">
        <v>55.281999999999996</v>
      </c>
      <c r="AM254" s="24">
        <v>20.449000000000002</v>
      </c>
    </row>
    <row r="255" spans="1:39" x14ac:dyDescent="0.2">
      <c r="A255" s="24">
        <v>8.891</v>
      </c>
      <c r="S255" s="1"/>
      <c r="AD255" s="24">
        <v>9.5500000000000007</v>
      </c>
      <c r="AE255" s="24">
        <v>4.9779999999999998</v>
      </c>
      <c r="AF255" s="24">
        <v>8.891</v>
      </c>
      <c r="AG255" s="24">
        <v>273.30399999999997</v>
      </c>
      <c r="AH255" s="24">
        <v>66.930000000000007</v>
      </c>
      <c r="AI255" s="24">
        <v>9.27</v>
      </c>
      <c r="AJ255" s="24">
        <v>23.931999999999999</v>
      </c>
      <c r="AK255" s="24">
        <v>55.281999999999996</v>
      </c>
      <c r="AL255" s="24">
        <v>20.449000000000002</v>
      </c>
      <c r="AM255" s="24">
        <v>5.2789999999999999</v>
      </c>
    </row>
    <row r="256" spans="1:39" x14ac:dyDescent="0.2">
      <c r="A256" s="24">
        <v>273.30399999999997</v>
      </c>
      <c r="S256" s="1"/>
      <c r="AD256" s="24">
        <v>4.9779999999999998</v>
      </c>
      <c r="AE256" s="24">
        <v>8.891</v>
      </c>
      <c r="AF256" s="24">
        <v>273.30399999999997</v>
      </c>
      <c r="AG256" s="24">
        <v>66.930000000000007</v>
      </c>
      <c r="AH256" s="24">
        <v>9.27</v>
      </c>
      <c r="AI256" s="24">
        <v>23.931999999999999</v>
      </c>
      <c r="AJ256" s="24">
        <v>55.281999999999996</v>
      </c>
      <c r="AK256" s="24">
        <v>20.449000000000002</v>
      </c>
      <c r="AL256" s="24">
        <v>5.2789999999999999</v>
      </c>
      <c r="AM256" s="24">
        <v>5.7889999999999997</v>
      </c>
    </row>
    <row r="257" spans="1:39" x14ac:dyDescent="0.2">
      <c r="A257" s="24">
        <v>66.930000000000007</v>
      </c>
      <c r="S257" s="1"/>
      <c r="AD257" s="24">
        <v>8.891</v>
      </c>
      <c r="AE257" s="24">
        <v>273.30399999999997</v>
      </c>
      <c r="AF257" s="24">
        <v>66.930000000000007</v>
      </c>
      <c r="AG257" s="24">
        <v>9.27</v>
      </c>
      <c r="AH257" s="24">
        <v>23.931999999999999</v>
      </c>
      <c r="AI257" s="24">
        <v>55.281999999999996</v>
      </c>
      <c r="AJ257" s="24">
        <v>20.449000000000002</v>
      </c>
      <c r="AK257" s="24">
        <v>5.2789999999999999</v>
      </c>
      <c r="AL257" s="24">
        <v>5.7889999999999997</v>
      </c>
      <c r="AM257" s="24">
        <v>4.6399999999999997</v>
      </c>
    </row>
    <row r="258" spans="1:39" x14ac:dyDescent="0.2">
      <c r="A258" s="24">
        <v>9.27</v>
      </c>
      <c r="S258" s="1"/>
      <c r="AD258" s="24">
        <v>273.30399999999997</v>
      </c>
      <c r="AE258" s="24">
        <v>66.930000000000007</v>
      </c>
      <c r="AF258" s="24">
        <v>9.27</v>
      </c>
      <c r="AG258" s="24">
        <v>23.931999999999999</v>
      </c>
      <c r="AH258" s="24">
        <v>55.281999999999996</v>
      </c>
      <c r="AI258" s="24">
        <v>20.449000000000002</v>
      </c>
      <c r="AJ258" s="24">
        <v>5.2789999999999999</v>
      </c>
      <c r="AK258" s="24">
        <v>5.7889999999999997</v>
      </c>
      <c r="AL258" s="24">
        <v>4.6399999999999997</v>
      </c>
      <c r="AM258" s="24">
        <v>7.5679999999999996</v>
      </c>
    </row>
    <row r="259" spans="1:39" x14ac:dyDescent="0.2">
      <c r="A259" s="24">
        <v>23.931999999999999</v>
      </c>
      <c r="S259" s="1"/>
      <c r="AD259" s="24">
        <v>66.930000000000007</v>
      </c>
      <c r="AE259" s="24">
        <v>9.27</v>
      </c>
      <c r="AF259" s="24">
        <v>23.931999999999999</v>
      </c>
      <c r="AG259" s="24">
        <v>55.281999999999996</v>
      </c>
      <c r="AH259" s="24">
        <v>20.449000000000002</v>
      </c>
      <c r="AI259" s="24">
        <v>5.2789999999999999</v>
      </c>
      <c r="AJ259" s="24">
        <v>5.7889999999999997</v>
      </c>
      <c r="AK259" s="24">
        <v>4.6399999999999997</v>
      </c>
      <c r="AL259" s="24">
        <v>7.5679999999999996</v>
      </c>
      <c r="AM259" s="24">
        <v>5.3239999999999998</v>
      </c>
    </row>
    <row r="260" spans="1:39" x14ac:dyDescent="0.2">
      <c r="A260" s="24">
        <v>55.281999999999996</v>
      </c>
      <c r="S260" s="1"/>
      <c r="AD260" s="24">
        <v>9.27</v>
      </c>
      <c r="AE260" s="24">
        <v>23.931999999999999</v>
      </c>
      <c r="AF260" s="24">
        <v>55.281999999999996</v>
      </c>
      <c r="AG260" s="24">
        <v>20.449000000000002</v>
      </c>
      <c r="AH260" s="24">
        <v>5.2789999999999999</v>
      </c>
      <c r="AI260" s="24">
        <v>5.7889999999999997</v>
      </c>
      <c r="AJ260" s="24">
        <v>4.6399999999999997</v>
      </c>
      <c r="AK260" s="24">
        <v>7.5679999999999996</v>
      </c>
      <c r="AL260" s="24">
        <v>5.3239999999999998</v>
      </c>
      <c r="AM260" s="24">
        <v>6.6210000000000004</v>
      </c>
    </row>
    <row r="261" spans="1:39" x14ac:dyDescent="0.2">
      <c r="A261" s="24">
        <v>20.449000000000002</v>
      </c>
      <c r="S261" s="1"/>
      <c r="AD261" s="24">
        <v>23.931999999999999</v>
      </c>
      <c r="AE261" s="24">
        <v>55.281999999999996</v>
      </c>
      <c r="AF261" s="24">
        <v>20.449000000000002</v>
      </c>
      <c r="AG261" s="24">
        <v>5.2789999999999999</v>
      </c>
      <c r="AH261" s="24">
        <v>5.7889999999999997</v>
      </c>
      <c r="AI261" s="24">
        <v>4.6399999999999997</v>
      </c>
      <c r="AJ261" s="24">
        <v>7.5679999999999996</v>
      </c>
      <c r="AK261" s="24">
        <v>5.3239999999999998</v>
      </c>
      <c r="AL261" s="24">
        <v>6.6210000000000004</v>
      </c>
      <c r="AM261" s="24">
        <v>5.3339999999999996</v>
      </c>
    </row>
    <row r="262" spans="1:39" x14ac:dyDescent="0.2">
      <c r="A262" s="24">
        <v>5.2789999999999999</v>
      </c>
      <c r="S262" s="1"/>
      <c r="AD262" s="24">
        <v>55.281999999999996</v>
      </c>
      <c r="AE262" s="24">
        <v>20.449000000000002</v>
      </c>
      <c r="AF262" s="24">
        <v>5.2789999999999999</v>
      </c>
      <c r="AG262" s="24">
        <v>5.7889999999999997</v>
      </c>
      <c r="AH262" s="24">
        <v>4.6399999999999997</v>
      </c>
      <c r="AI262" s="24">
        <v>7.5679999999999996</v>
      </c>
      <c r="AJ262" s="24">
        <v>5.3239999999999998</v>
      </c>
      <c r="AK262" s="24">
        <v>6.6210000000000004</v>
      </c>
      <c r="AL262" s="24">
        <v>5.3339999999999996</v>
      </c>
      <c r="AM262" s="24">
        <v>4.6959999999999997</v>
      </c>
    </row>
    <row r="263" spans="1:39" x14ac:dyDescent="0.2">
      <c r="A263" s="24">
        <v>5.7889999999999997</v>
      </c>
      <c r="S263" s="1"/>
      <c r="AD263" s="24">
        <v>20.449000000000002</v>
      </c>
      <c r="AE263" s="24">
        <v>5.2789999999999999</v>
      </c>
      <c r="AF263" s="24">
        <v>5.7889999999999997</v>
      </c>
      <c r="AG263" s="24">
        <v>4.6399999999999997</v>
      </c>
      <c r="AH263" s="24">
        <v>7.5679999999999996</v>
      </c>
      <c r="AI263" s="24">
        <v>5.3239999999999998</v>
      </c>
      <c r="AJ263" s="24">
        <v>6.6210000000000004</v>
      </c>
      <c r="AK263" s="24">
        <v>5.3339999999999996</v>
      </c>
      <c r="AL263" s="24">
        <v>4.6959999999999997</v>
      </c>
      <c r="AM263" s="24">
        <v>5.32</v>
      </c>
    </row>
    <row r="264" spans="1:39" x14ac:dyDescent="0.2">
      <c r="A264" s="24">
        <v>4.6399999999999997</v>
      </c>
      <c r="S264" s="1"/>
      <c r="AD264" s="24">
        <v>5.2789999999999999</v>
      </c>
      <c r="AE264" s="24">
        <v>5.7889999999999997</v>
      </c>
      <c r="AF264" s="24">
        <v>4.6399999999999997</v>
      </c>
      <c r="AG264" s="24">
        <v>7.5679999999999996</v>
      </c>
      <c r="AH264" s="24">
        <v>5.3239999999999998</v>
      </c>
      <c r="AI264" s="24">
        <v>6.6210000000000004</v>
      </c>
      <c r="AJ264" s="24">
        <v>5.3339999999999996</v>
      </c>
      <c r="AK264" s="24">
        <v>4.6959999999999997</v>
      </c>
      <c r="AL264" s="24">
        <v>5.32</v>
      </c>
      <c r="AM264" s="24">
        <v>8.9109999999999996</v>
      </c>
    </row>
    <row r="265" spans="1:39" x14ac:dyDescent="0.2">
      <c r="A265" s="24">
        <v>7.5679999999999996</v>
      </c>
      <c r="S265" s="1"/>
      <c r="AD265" s="24">
        <v>5.7889999999999997</v>
      </c>
      <c r="AE265" s="24">
        <v>4.6399999999999997</v>
      </c>
      <c r="AF265" s="24">
        <v>7.5679999999999996</v>
      </c>
      <c r="AG265" s="24">
        <v>5.3239999999999998</v>
      </c>
      <c r="AH265" s="24">
        <v>6.6210000000000004</v>
      </c>
      <c r="AI265" s="24">
        <v>5.3339999999999996</v>
      </c>
      <c r="AJ265" s="24">
        <v>4.6959999999999997</v>
      </c>
      <c r="AK265" s="24">
        <v>5.32</v>
      </c>
      <c r="AL265" s="24">
        <v>8.9109999999999996</v>
      </c>
      <c r="AM265" s="24">
        <v>9.484</v>
      </c>
    </row>
    <row r="266" spans="1:39" x14ac:dyDescent="0.2">
      <c r="A266" s="24">
        <v>5.3239999999999998</v>
      </c>
      <c r="S266" s="1"/>
      <c r="AD266" s="24">
        <v>4.6399999999999997</v>
      </c>
      <c r="AE266" s="24">
        <v>7.5679999999999996</v>
      </c>
      <c r="AF266" s="24">
        <v>5.3239999999999998</v>
      </c>
      <c r="AG266" s="24">
        <v>6.6210000000000004</v>
      </c>
      <c r="AH266" s="24">
        <v>5.3339999999999996</v>
      </c>
      <c r="AI266" s="24">
        <v>4.6959999999999997</v>
      </c>
      <c r="AJ266" s="24">
        <v>5.32</v>
      </c>
      <c r="AK266" s="24">
        <v>8.9109999999999996</v>
      </c>
      <c r="AL266" s="24">
        <v>9.484</v>
      </c>
      <c r="AM266" s="24">
        <v>6.0369999999999999</v>
      </c>
    </row>
    <row r="267" spans="1:39" x14ac:dyDescent="0.2">
      <c r="A267" s="24">
        <v>6.6210000000000004</v>
      </c>
      <c r="S267" s="1"/>
      <c r="AD267" s="24">
        <v>7.5679999999999996</v>
      </c>
      <c r="AE267" s="24">
        <v>5.3239999999999998</v>
      </c>
      <c r="AF267" s="24">
        <v>6.6210000000000004</v>
      </c>
      <c r="AG267" s="24">
        <v>5.3339999999999996</v>
      </c>
      <c r="AH267" s="24">
        <v>4.6959999999999997</v>
      </c>
      <c r="AI267" s="24">
        <v>5.32</v>
      </c>
      <c r="AJ267" s="24">
        <v>8.9109999999999996</v>
      </c>
      <c r="AK267" s="24">
        <v>9.484</v>
      </c>
      <c r="AL267" s="24">
        <v>6.0369999999999999</v>
      </c>
      <c r="AM267" s="24">
        <v>7.4260000000000002</v>
      </c>
    </row>
    <row r="268" spans="1:39" x14ac:dyDescent="0.2">
      <c r="A268" s="24">
        <v>5.3339999999999996</v>
      </c>
      <c r="S268" s="1"/>
      <c r="AD268" s="24">
        <v>5.3239999999999998</v>
      </c>
      <c r="AE268" s="24">
        <v>6.6210000000000004</v>
      </c>
      <c r="AF268" s="24">
        <v>5.3339999999999996</v>
      </c>
      <c r="AG268" s="24">
        <v>4.6959999999999997</v>
      </c>
      <c r="AH268" s="24">
        <v>5.32</v>
      </c>
      <c r="AI268" s="24">
        <v>8.9109999999999996</v>
      </c>
      <c r="AJ268" s="24">
        <v>9.484</v>
      </c>
      <c r="AK268" s="24">
        <v>6.0369999999999999</v>
      </c>
      <c r="AL268" s="24">
        <v>7.4260000000000002</v>
      </c>
      <c r="AM268" s="24">
        <v>8.1219999999999999</v>
      </c>
    </row>
    <row r="269" spans="1:39" x14ac:dyDescent="0.2">
      <c r="A269" s="24">
        <v>4.6959999999999997</v>
      </c>
      <c r="S269" s="1"/>
      <c r="AD269" s="24">
        <v>6.6210000000000004</v>
      </c>
      <c r="AE269" s="24">
        <v>5.3339999999999996</v>
      </c>
      <c r="AF269" s="24">
        <v>4.6959999999999997</v>
      </c>
      <c r="AG269" s="24">
        <v>5.32</v>
      </c>
      <c r="AH269" s="24">
        <v>8.9109999999999996</v>
      </c>
      <c r="AI269" s="24">
        <v>9.484</v>
      </c>
      <c r="AJ269" s="24">
        <v>6.0369999999999999</v>
      </c>
      <c r="AK269" s="24">
        <v>7.4260000000000002</v>
      </c>
      <c r="AL269" s="24">
        <v>8.1219999999999999</v>
      </c>
      <c r="AM269" s="24">
        <v>66.733999999999995</v>
      </c>
    </row>
    <row r="270" spans="1:39" x14ac:dyDescent="0.2">
      <c r="A270" s="24">
        <v>5.32</v>
      </c>
      <c r="S270" s="1"/>
      <c r="AD270" s="24">
        <v>5.3339999999999996</v>
      </c>
      <c r="AE270" s="24">
        <v>4.6959999999999997</v>
      </c>
      <c r="AF270" s="24">
        <v>5.32</v>
      </c>
      <c r="AG270" s="24">
        <v>8.9109999999999996</v>
      </c>
      <c r="AH270" s="24">
        <v>9.484</v>
      </c>
      <c r="AI270" s="24">
        <v>6.0369999999999999</v>
      </c>
      <c r="AJ270" s="24">
        <v>7.4260000000000002</v>
      </c>
      <c r="AK270" s="24">
        <v>8.1219999999999999</v>
      </c>
      <c r="AL270" s="24">
        <v>66.733999999999995</v>
      </c>
      <c r="AM270" s="24">
        <v>4.6239999999999997</v>
      </c>
    </row>
    <row r="271" spans="1:39" x14ac:dyDescent="0.2">
      <c r="A271" s="24">
        <v>8.9109999999999996</v>
      </c>
      <c r="S271" s="1"/>
      <c r="AD271" s="24">
        <v>4.6959999999999997</v>
      </c>
      <c r="AE271" s="24">
        <v>5.32</v>
      </c>
      <c r="AF271" s="24">
        <v>8.9109999999999996</v>
      </c>
      <c r="AG271" s="24">
        <v>9.484</v>
      </c>
      <c r="AH271" s="24">
        <v>6.0369999999999999</v>
      </c>
      <c r="AI271" s="24">
        <v>7.4260000000000002</v>
      </c>
      <c r="AJ271" s="24">
        <v>8.1219999999999999</v>
      </c>
      <c r="AK271" s="24">
        <v>66.733999999999995</v>
      </c>
      <c r="AL271" s="24">
        <v>4.6239999999999997</v>
      </c>
      <c r="AM271" s="24">
        <v>4.9509999999999996</v>
      </c>
    </row>
    <row r="272" spans="1:39" x14ac:dyDescent="0.2">
      <c r="A272" s="24">
        <v>9.484</v>
      </c>
      <c r="S272" s="1"/>
      <c r="AD272" s="24">
        <v>5.32</v>
      </c>
      <c r="AE272" s="24">
        <v>8.9109999999999996</v>
      </c>
      <c r="AF272" s="24">
        <v>9.484</v>
      </c>
      <c r="AG272" s="24">
        <v>6.0369999999999999</v>
      </c>
      <c r="AH272" s="24">
        <v>7.4260000000000002</v>
      </c>
      <c r="AI272" s="24">
        <v>8.1219999999999999</v>
      </c>
      <c r="AJ272" s="24">
        <v>66.733999999999995</v>
      </c>
      <c r="AK272" s="24">
        <v>4.6239999999999997</v>
      </c>
      <c r="AL272" s="24">
        <v>4.9509999999999996</v>
      </c>
      <c r="AM272" s="24">
        <v>5.9870000000000001</v>
      </c>
    </row>
    <row r="273" spans="1:39" x14ac:dyDescent="0.2">
      <c r="A273" s="24">
        <v>6.0369999999999999</v>
      </c>
      <c r="S273" s="1"/>
      <c r="AD273" s="24">
        <v>8.9109999999999996</v>
      </c>
      <c r="AE273" s="24">
        <v>9.484</v>
      </c>
      <c r="AF273" s="24">
        <v>6.0369999999999999</v>
      </c>
      <c r="AG273" s="24">
        <v>7.4260000000000002</v>
      </c>
      <c r="AH273" s="24">
        <v>8.1219999999999999</v>
      </c>
      <c r="AI273" s="24">
        <v>66.733999999999995</v>
      </c>
      <c r="AJ273" s="24">
        <v>4.6239999999999997</v>
      </c>
      <c r="AK273" s="24">
        <v>4.9509999999999996</v>
      </c>
      <c r="AL273" s="24">
        <v>5.9870000000000001</v>
      </c>
      <c r="AM273" s="24">
        <v>5.4969999999999999</v>
      </c>
    </row>
    <row r="274" spans="1:39" x14ac:dyDescent="0.2">
      <c r="A274" s="24">
        <v>7.4260000000000002</v>
      </c>
      <c r="S274" s="1"/>
      <c r="AD274" s="24">
        <v>9.484</v>
      </c>
      <c r="AE274" s="24">
        <v>6.0369999999999999</v>
      </c>
      <c r="AF274" s="24">
        <v>7.4260000000000002</v>
      </c>
      <c r="AG274" s="24">
        <v>8.1219999999999999</v>
      </c>
      <c r="AH274" s="24">
        <v>66.733999999999995</v>
      </c>
      <c r="AI274" s="24">
        <v>4.6239999999999997</v>
      </c>
      <c r="AJ274" s="24">
        <v>4.9509999999999996</v>
      </c>
      <c r="AK274" s="24">
        <v>5.9870000000000001</v>
      </c>
      <c r="AL274" s="24">
        <v>5.4969999999999999</v>
      </c>
      <c r="AM274" s="24">
        <v>49.82</v>
      </c>
    </row>
    <row r="275" spans="1:39" x14ac:dyDescent="0.2">
      <c r="A275" s="24">
        <v>8.1219999999999999</v>
      </c>
      <c r="S275" s="1"/>
      <c r="AD275" s="24">
        <v>6.0369999999999999</v>
      </c>
      <c r="AE275" s="24">
        <v>7.4260000000000002</v>
      </c>
      <c r="AF275" s="24">
        <v>8.1219999999999999</v>
      </c>
      <c r="AG275" s="24">
        <v>66.733999999999995</v>
      </c>
      <c r="AH275" s="24">
        <v>4.6239999999999997</v>
      </c>
      <c r="AI275" s="24">
        <v>4.9509999999999996</v>
      </c>
      <c r="AJ275" s="24">
        <v>5.9870000000000001</v>
      </c>
      <c r="AK275" s="24">
        <v>5.4969999999999999</v>
      </c>
      <c r="AL275" s="24">
        <v>49.82</v>
      </c>
      <c r="AM275" s="24">
        <v>53.902999999999999</v>
      </c>
    </row>
    <row r="276" spans="1:39" x14ac:dyDescent="0.2">
      <c r="A276" s="24">
        <v>66.733999999999995</v>
      </c>
      <c r="S276" s="1"/>
      <c r="AD276" s="24">
        <v>7.4260000000000002</v>
      </c>
      <c r="AE276" s="24">
        <v>8.1219999999999999</v>
      </c>
      <c r="AF276" s="24">
        <v>66.733999999999995</v>
      </c>
      <c r="AG276" s="24">
        <v>4.6239999999999997</v>
      </c>
      <c r="AH276" s="24">
        <v>4.9509999999999996</v>
      </c>
      <c r="AI276" s="24">
        <v>5.9870000000000001</v>
      </c>
      <c r="AJ276" s="24">
        <v>5.4969999999999999</v>
      </c>
      <c r="AK276" s="24">
        <v>49.82</v>
      </c>
      <c r="AL276" s="24">
        <v>53.902999999999999</v>
      </c>
      <c r="AM276" s="24">
        <v>8.3469999999999995</v>
      </c>
    </row>
    <row r="277" spans="1:39" x14ac:dyDescent="0.2">
      <c r="A277" s="24">
        <v>4.6239999999999997</v>
      </c>
      <c r="S277" s="1"/>
      <c r="AD277" s="24">
        <v>8.1219999999999999</v>
      </c>
      <c r="AE277" s="24">
        <v>66.733999999999995</v>
      </c>
      <c r="AF277" s="24">
        <v>4.6239999999999997</v>
      </c>
      <c r="AG277" s="24">
        <v>4.9509999999999996</v>
      </c>
      <c r="AH277" s="24">
        <v>5.9870000000000001</v>
      </c>
      <c r="AI277" s="24">
        <v>5.4969999999999999</v>
      </c>
      <c r="AJ277" s="24">
        <v>49.82</v>
      </c>
      <c r="AK277" s="24">
        <v>53.902999999999999</v>
      </c>
      <c r="AL277" s="24">
        <v>8.3469999999999995</v>
      </c>
      <c r="AM277" s="24">
        <v>9.31</v>
      </c>
    </row>
    <row r="278" spans="1:39" x14ac:dyDescent="0.2">
      <c r="A278" s="24">
        <v>4.9509999999999996</v>
      </c>
      <c r="S278" s="1"/>
      <c r="AD278" s="24">
        <v>66.733999999999995</v>
      </c>
      <c r="AE278" s="24">
        <v>4.6239999999999997</v>
      </c>
      <c r="AF278" s="24">
        <v>4.9509999999999996</v>
      </c>
      <c r="AG278" s="24">
        <v>5.9870000000000001</v>
      </c>
      <c r="AH278" s="24">
        <v>5.4969999999999999</v>
      </c>
      <c r="AI278" s="24">
        <v>49.82</v>
      </c>
      <c r="AJ278" s="24">
        <v>53.902999999999999</v>
      </c>
      <c r="AK278" s="24">
        <v>8.3469999999999995</v>
      </c>
      <c r="AL278" s="24">
        <v>9.31</v>
      </c>
      <c r="AM278" s="24">
        <v>5.4749999999999996</v>
      </c>
    </row>
    <row r="279" spans="1:39" x14ac:dyDescent="0.2">
      <c r="A279" s="24">
        <v>5.9870000000000001</v>
      </c>
      <c r="S279" s="1"/>
      <c r="AD279" s="24">
        <v>4.6239999999999997</v>
      </c>
      <c r="AE279" s="24">
        <v>4.9509999999999996</v>
      </c>
      <c r="AF279" s="24">
        <v>5.9870000000000001</v>
      </c>
      <c r="AG279" s="24">
        <v>5.4969999999999999</v>
      </c>
      <c r="AH279" s="24">
        <v>49.82</v>
      </c>
      <c r="AI279" s="24">
        <v>53.902999999999999</v>
      </c>
      <c r="AJ279" s="24">
        <v>8.3469999999999995</v>
      </c>
      <c r="AK279" s="24">
        <v>9.31</v>
      </c>
      <c r="AL279" s="24">
        <v>5.4749999999999996</v>
      </c>
      <c r="AM279" s="24">
        <v>4.875</v>
      </c>
    </row>
    <row r="280" spans="1:39" x14ac:dyDescent="0.2">
      <c r="A280" s="24">
        <v>5.4969999999999999</v>
      </c>
      <c r="S280" s="1"/>
      <c r="AD280" s="24">
        <v>4.9509999999999996</v>
      </c>
      <c r="AE280" s="24">
        <v>5.9870000000000001</v>
      </c>
      <c r="AF280" s="24">
        <v>5.4969999999999999</v>
      </c>
      <c r="AG280" s="24">
        <v>49.82</v>
      </c>
      <c r="AH280" s="24">
        <v>53.902999999999999</v>
      </c>
      <c r="AI280" s="24">
        <v>8.3469999999999995</v>
      </c>
      <c r="AJ280" s="24">
        <v>9.31</v>
      </c>
      <c r="AK280" s="24">
        <v>5.4749999999999996</v>
      </c>
      <c r="AL280" s="24">
        <v>4.875</v>
      </c>
      <c r="AM280" s="24">
        <v>48.32</v>
      </c>
    </row>
    <row r="281" spans="1:39" x14ac:dyDescent="0.2">
      <c r="A281" s="24">
        <v>49.82</v>
      </c>
      <c r="S281" s="1"/>
      <c r="AD281" s="24">
        <v>5.9870000000000001</v>
      </c>
      <c r="AE281" s="24">
        <v>5.4969999999999999</v>
      </c>
      <c r="AF281" s="24">
        <v>49.82</v>
      </c>
      <c r="AG281" s="24">
        <v>53.902999999999999</v>
      </c>
      <c r="AH281" s="24">
        <v>8.3469999999999995</v>
      </c>
      <c r="AI281" s="24">
        <v>9.31</v>
      </c>
      <c r="AJ281" s="24">
        <v>5.4749999999999996</v>
      </c>
      <c r="AK281" s="24">
        <v>4.875</v>
      </c>
      <c r="AL281" s="24">
        <v>48.32</v>
      </c>
      <c r="AM281" s="24">
        <v>8.3670000000000009</v>
      </c>
    </row>
    <row r="282" spans="1:39" x14ac:dyDescent="0.2">
      <c r="A282" s="24">
        <v>53.902999999999999</v>
      </c>
      <c r="S282" s="1"/>
      <c r="AD282" s="24">
        <v>5.4969999999999999</v>
      </c>
      <c r="AE282" s="24">
        <v>49.82</v>
      </c>
      <c r="AF282" s="24">
        <v>53.902999999999999</v>
      </c>
      <c r="AG282" s="24">
        <v>8.3469999999999995</v>
      </c>
      <c r="AH282" s="24">
        <v>9.31</v>
      </c>
      <c r="AI282" s="24">
        <v>5.4749999999999996</v>
      </c>
      <c r="AJ282" s="24">
        <v>4.875</v>
      </c>
      <c r="AK282" s="24">
        <v>48.32</v>
      </c>
      <c r="AL282" s="24">
        <v>8.3670000000000009</v>
      </c>
      <c r="AM282" s="24">
        <v>7.0789999999999997</v>
      </c>
    </row>
    <row r="283" spans="1:39" x14ac:dyDescent="0.2">
      <c r="A283" s="24">
        <v>8.3469999999999995</v>
      </c>
      <c r="S283" s="1"/>
      <c r="AD283" s="24">
        <v>49.82</v>
      </c>
      <c r="AE283" s="24">
        <v>53.902999999999999</v>
      </c>
      <c r="AF283" s="24">
        <v>8.3469999999999995</v>
      </c>
      <c r="AG283" s="24">
        <v>9.31</v>
      </c>
      <c r="AH283" s="24">
        <v>5.4749999999999996</v>
      </c>
      <c r="AI283" s="24">
        <v>4.875</v>
      </c>
      <c r="AJ283" s="24">
        <v>48.32</v>
      </c>
      <c r="AK283" s="24">
        <v>8.3670000000000009</v>
      </c>
      <c r="AL283" s="24">
        <v>7.0789999999999997</v>
      </c>
      <c r="AM283" s="24">
        <v>5.407</v>
      </c>
    </row>
    <row r="284" spans="1:39" x14ac:dyDescent="0.2">
      <c r="A284" s="24">
        <v>9.31</v>
      </c>
      <c r="S284" s="1"/>
      <c r="AD284" s="24">
        <v>53.902999999999999</v>
      </c>
      <c r="AE284" s="24">
        <v>8.3469999999999995</v>
      </c>
      <c r="AF284" s="24">
        <v>9.31</v>
      </c>
      <c r="AG284" s="24">
        <v>5.4749999999999996</v>
      </c>
      <c r="AH284" s="24">
        <v>4.875</v>
      </c>
      <c r="AI284" s="24">
        <v>48.32</v>
      </c>
      <c r="AJ284" s="24">
        <v>8.3670000000000009</v>
      </c>
      <c r="AK284" s="24">
        <v>7.0789999999999997</v>
      </c>
      <c r="AL284" s="24">
        <v>5.407</v>
      </c>
      <c r="AM284" s="24">
        <v>15.542</v>
      </c>
    </row>
    <row r="285" spans="1:39" x14ac:dyDescent="0.2">
      <c r="A285" s="24">
        <v>5.4749999999999996</v>
      </c>
      <c r="S285" s="1"/>
      <c r="AD285" s="24">
        <v>8.3469999999999995</v>
      </c>
      <c r="AE285" s="24">
        <v>9.31</v>
      </c>
      <c r="AF285" s="24">
        <v>5.4749999999999996</v>
      </c>
      <c r="AG285" s="24">
        <v>4.875</v>
      </c>
      <c r="AH285" s="24">
        <v>48.32</v>
      </c>
      <c r="AI285" s="24">
        <v>8.3670000000000009</v>
      </c>
      <c r="AJ285" s="24">
        <v>7.0789999999999997</v>
      </c>
      <c r="AK285" s="24">
        <v>5.407</v>
      </c>
      <c r="AL285" s="24">
        <v>15.542</v>
      </c>
      <c r="AM285" s="24">
        <v>14.11</v>
      </c>
    </row>
    <row r="286" spans="1:39" x14ac:dyDescent="0.2">
      <c r="A286" s="24">
        <v>4.875</v>
      </c>
      <c r="S286" s="1"/>
      <c r="AD286" s="24">
        <v>9.31</v>
      </c>
      <c r="AE286" s="24">
        <v>5.4749999999999996</v>
      </c>
      <c r="AF286" s="24">
        <v>4.875</v>
      </c>
      <c r="AG286" s="24">
        <v>48.32</v>
      </c>
      <c r="AH286" s="24">
        <v>8.3670000000000009</v>
      </c>
      <c r="AI286" s="24">
        <v>7.0789999999999997</v>
      </c>
      <c r="AJ286" s="24">
        <v>5.407</v>
      </c>
      <c r="AK286" s="24">
        <v>15.542</v>
      </c>
      <c r="AL286" s="24">
        <v>14.11</v>
      </c>
      <c r="AM286" s="24">
        <v>4.7569999999999997</v>
      </c>
    </row>
    <row r="287" spans="1:39" x14ac:dyDescent="0.2">
      <c r="A287" s="24">
        <v>48.32</v>
      </c>
      <c r="S287" s="1"/>
      <c r="AD287" s="24">
        <v>5.4749999999999996</v>
      </c>
      <c r="AE287" s="24">
        <v>4.875</v>
      </c>
      <c r="AF287" s="24">
        <v>48.32</v>
      </c>
      <c r="AG287" s="24">
        <v>8.3670000000000009</v>
      </c>
      <c r="AH287" s="24">
        <v>7.0789999999999997</v>
      </c>
      <c r="AI287" s="24">
        <v>5.407</v>
      </c>
      <c r="AJ287" s="24">
        <v>15.542</v>
      </c>
      <c r="AK287" s="24">
        <v>14.11</v>
      </c>
      <c r="AL287" s="24">
        <v>4.7569999999999997</v>
      </c>
      <c r="AM287" s="24">
        <v>8.1289999999999996</v>
      </c>
    </row>
    <row r="288" spans="1:39" x14ac:dyDescent="0.2">
      <c r="A288" s="24">
        <v>8.3670000000000009</v>
      </c>
      <c r="S288" s="1"/>
      <c r="AD288" s="24">
        <v>4.875</v>
      </c>
      <c r="AE288" s="24">
        <v>48.32</v>
      </c>
      <c r="AF288" s="24">
        <v>8.3670000000000009</v>
      </c>
      <c r="AG288" s="24">
        <v>7.0789999999999997</v>
      </c>
      <c r="AH288" s="24">
        <v>5.407</v>
      </c>
      <c r="AI288" s="24">
        <v>15.542</v>
      </c>
      <c r="AJ288" s="24">
        <v>14.11</v>
      </c>
      <c r="AK288" s="24">
        <v>4.7569999999999997</v>
      </c>
      <c r="AL288" s="24">
        <v>8.1289999999999996</v>
      </c>
      <c r="AM288" s="24">
        <v>4.8949999999999996</v>
      </c>
    </row>
    <row r="289" spans="1:39" x14ac:dyDescent="0.2">
      <c r="A289" s="24">
        <v>7.0789999999999997</v>
      </c>
      <c r="S289" s="1"/>
      <c r="AD289" s="24">
        <v>48.32</v>
      </c>
      <c r="AE289" s="24">
        <v>8.3670000000000009</v>
      </c>
      <c r="AF289" s="24">
        <v>7.0789999999999997</v>
      </c>
      <c r="AG289" s="24">
        <v>5.407</v>
      </c>
      <c r="AH289" s="24">
        <v>15.542</v>
      </c>
      <c r="AI289" s="24">
        <v>14.11</v>
      </c>
      <c r="AJ289" s="24">
        <v>4.7569999999999997</v>
      </c>
      <c r="AK289" s="24">
        <v>8.1289999999999996</v>
      </c>
      <c r="AL289" s="24">
        <v>4.8949999999999996</v>
      </c>
      <c r="AM289" s="24">
        <v>5.7910000000000004</v>
      </c>
    </row>
    <row r="290" spans="1:39" x14ac:dyDescent="0.2">
      <c r="A290" s="24">
        <v>5.407</v>
      </c>
      <c r="S290" s="1"/>
      <c r="AD290" s="24">
        <v>8.3670000000000009</v>
      </c>
      <c r="AE290" s="24">
        <v>7.0789999999999997</v>
      </c>
      <c r="AF290" s="24">
        <v>5.407</v>
      </c>
      <c r="AG290" s="24">
        <v>15.542</v>
      </c>
      <c r="AH290" s="24">
        <v>14.11</v>
      </c>
      <c r="AI290" s="24">
        <v>4.7569999999999997</v>
      </c>
      <c r="AJ290" s="24">
        <v>8.1289999999999996</v>
      </c>
      <c r="AK290" s="24">
        <v>4.8949999999999996</v>
      </c>
      <c r="AL290" s="24">
        <v>5.7910000000000004</v>
      </c>
      <c r="AM290" s="24">
        <v>23.228000000000002</v>
      </c>
    </row>
    <row r="291" spans="1:39" x14ac:dyDescent="0.2">
      <c r="A291" s="24">
        <v>15.542</v>
      </c>
      <c r="S291" s="1"/>
      <c r="AD291" s="24">
        <v>7.0789999999999997</v>
      </c>
      <c r="AE291" s="24">
        <v>5.407</v>
      </c>
      <c r="AF291" s="24">
        <v>15.542</v>
      </c>
      <c r="AG291" s="24">
        <v>14.11</v>
      </c>
      <c r="AH291" s="24">
        <v>4.7569999999999997</v>
      </c>
      <c r="AI291" s="24">
        <v>8.1289999999999996</v>
      </c>
      <c r="AJ291" s="24">
        <v>4.8949999999999996</v>
      </c>
      <c r="AK291" s="24">
        <v>5.7910000000000004</v>
      </c>
      <c r="AL291" s="24">
        <v>23.228000000000002</v>
      </c>
      <c r="AM291" s="24">
        <v>29.795000000000002</v>
      </c>
    </row>
    <row r="292" spans="1:39" x14ac:dyDescent="0.2">
      <c r="A292" s="24">
        <v>14.11</v>
      </c>
      <c r="S292" s="1"/>
      <c r="AD292" s="24">
        <v>5.407</v>
      </c>
      <c r="AE292" s="24">
        <v>15.542</v>
      </c>
      <c r="AF292" s="24">
        <v>14.11</v>
      </c>
      <c r="AG292" s="24">
        <v>4.7569999999999997</v>
      </c>
      <c r="AH292" s="24">
        <v>8.1289999999999996</v>
      </c>
      <c r="AI292" s="24">
        <v>4.8949999999999996</v>
      </c>
      <c r="AJ292" s="24">
        <v>5.7910000000000004</v>
      </c>
      <c r="AK292" s="24">
        <v>23.228000000000002</v>
      </c>
      <c r="AL292" s="24">
        <v>29.795000000000002</v>
      </c>
      <c r="AM292" s="24">
        <v>4.9610000000000003</v>
      </c>
    </row>
    <row r="293" spans="1:39" x14ac:dyDescent="0.2">
      <c r="A293" s="24">
        <v>4.7569999999999997</v>
      </c>
      <c r="S293" s="1"/>
      <c r="AD293" s="24">
        <v>15.542</v>
      </c>
      <c r="AE293" s="24">
        <v>14.11</v>
      </c>
      <c r="AF293" s="24">
        <v>4.7569999999999997</v>
      </c>
      <c r="AG293" s="24">
        <v>8.1289999999999996</v>
      </c>
      <c r="AH293" s="24">
        <v>4.8949999999999996</v>
      </c>
      <c r="AI293" s="24">
        <v>5.7910000000000004</v>
      </c>
      <c r="AJ293" s="24">
        <v>23.228000000000002</v>
      </c>
      <c r="AK293" s="24">
        <v>29.795000000000002</v>
      </c>
      <c r="AL293" s="24">
        <v>4.9610000000000003</v>
      </c>
      <c r="AM293" s="24">
        <v>5.8129999999999997</v>
      </c>
    </row>
    <row r="294" spans="1:39" x14ac:dyDescent="0.2">
      <c r="A294" s="24">
        <v>8.1289999999999996</v>
      </c>
      <c r="S294" s="1"/>
      <c r="AD294" s="24">
        <v>14.11</v>
      </c>
      <c r="AE294" s="24">
        <v>4.7569999999999997</v>
      </c>
      <c r="AF294" s="24">
        <v>8.1289999999999996</v>
      </c>
      <c r="AG294" s="24">
        <v>4.8949999999999996</v>
      </c>
      <c r="AH294" s="24">
        <v>5.7910000000000004</v>
      </c>
      <c r="AI294" s="24">
        <v>23.228000000000002</v>
      </c>
      <c r="AJ294" s="24">
        <v>29.795000000000002</v>
      </c>
      <c r="AK294" s="24">
        <v>4.9610000000000003</v>
      </c>
      <c r="AL294" s="24">
        <v>5.8129999999999997</v>
      </c>
      <c r="AM294" s="25">
        <v>59.860999999999997</v>
      </c>
    </row>
    <row r="295" spans="1:39" x14ac:dyDescent="0.2">
      <c r="A295" s="24">
        <v>4.8949999999999996</v>
      </c>
      <c r="S295" s="1"/>
      <c r="AD295" s="24">
        <v>4.7569999999999997</v>
      </c>
      <c r="AE295" s="24">
        <v>8.1289999999999996</v>
      </c>
      <c r="AF295" s="24">
        <v>4.8949999999999996</v>
      </c>
      <c r="AG295" s="24">
        <v>5.7910000000000004</v>
      </c>
      <c r="AH295" s="24">
        <v>23.228000000000002</v>
      </c>
      <c r="AI295" s="24">
        <v>29.795000000000002</v>
      </c>
      <c r="AJ295" s="24">
        <v>4.9610000000000003</v>
      </c>
      <c r="AK295" s="24">
        <v>5.8129999999999997</v>
      </c>
      <c r="AL295" s="25">
        <v>59.860999999999997</v>
      </c>
      <c r="AM295" s="25">
        <v>9.3529999999999998</v>
      </c>
    </row>
    <row r="296" spans="1:39" x14ac:dyDescent="0.2">
      <c r="A296" s="24">
        <v>5.7910000000000004</v>
      </c>
      <c r="S296" s="1"/>
      <c r="AD296" s="24">
        <v>8.1289999999999996</v>
      </c>
      <c r="AE296" s="24">
        <v>4.8949999999999996</v>
      </c>
      <c r="AF296" s="24">
        <v>5.7910000000000004</v>
      </c>
      <c r="AG296" s="24">
        <v>23.228000000000002</v>
      </c>
      <c r="AH296" s="24">
        <v>29.795000000000002</v>
      </c>
      <c r="AI296" s="24">
        <v>4.9610000000000003</v>
      </c>
      <c r="AJ296" s="24">
        <v>5.8129999999999997</v>
      </c>
      <c r="AK296" s="25">
        <v>59.860999999999997</v>
      </c>
      <c r="AL296" s="25">
        <v>9.3529999999999998</v>
      </c>
      <c r="AM296" s="25">
        <v>4.7130000000000001</v>
      </c>
    </row>
    <row r="297" spans="1:39" x14ac:dyDescent="0.2">
      <c r="A297" s="24">
        <v>23.228000000000002</v>
      </c>
      <c r="S297" s="1"/>
      <c r="AD297" s="24">
        <v>4.8949999999999996</v>
      </c>
      <c r="AE297" s="24">
        <v>5.7910000000000004</v>
      </c>
      <c r="AF297" s="24">
        <v>23.228000000000002</v>
      </c>
      <c r="AG297" s="24">
        <v>29.795000000000002</v>
      </c>
      <c r="AH297" s="24">
        <v>4.9610000000000003</v>
      </c>
      <c r="AI297" s="24">
        <v>5.8129999999999997</v>
      </c>
      <c r="AJ297" s="25">
        <v>59.860999999999997</v>
      </c>
      <c r="AK297" s="25">
        <v>9.3529999999999998</v>
      </c>
      <c r="AL297" s="25">
        <v>4.7130000000000001</v>
      </c>
      <c r="AM297" s="25">
        <v>4.6120000000000001</v>
      </c>
    </row>
    <row r="298" spans="1:39" x14ac:dyDescent="0.2">
      <c r="A298" s="24">
        <v>29.795000000000002</v>
      </c>
      <c r="S298" s="1"/>
      <c r="AD298" s="24">
        <v>5.7910000000000004</v>
      </c>
      <c r="AE298" s="24">
        <v>23.228000000000002</v>
      </c>
      <c r="AF298" s="24">
        <v>29.795000000000002</v>
      </c>
      <c r="AG298" s="24">
        <v>4.9610000000000003</v>
      </c>
      <c r="AH298" s="24">
        <v>5.8129999999999997</v>
      </c>
      <c r="AI298" s="25">
        <v>59.860999999999997</v>
      </c>
      <c r="AJ298" s="25">
        <v>9.3529999999999998</v>
      </c>
      <c r="AK298" s="25">
        <v>4.7130000000000001</v>
      </c>
      <c r="AL298" s="25">
        <v>4.6120000000000001</v>
      </c>
      <c r="AM298" s="25">
        <v>6.48</v>
      </c>
    </row>
    <row r="299" spans="1:39" x14ac:dyDescent="0.2">
      <c r="A299" s="24">
        <v>4.9610000000000003</v>
      </c>
      <c r="S299" s="1"/>
      <c r="AD299" s="24">
        <v>23.228000000000002</v>
      </c>
      <c r="AE299" s="24">
        <v>29.795000000000002</v>
      </c>
      <c r="AF299" s="24">
        <v>4.9610000000000003</v>
      </c>
      <c r="AG299" s="24">
        <v>5.8129999999999997</v>
      </c>
      <c r="AH299" s="25">
        <v>59.860999999999997</v>
      </c>
      <c r="AI299" s="25">
        <v>9.3529999999999998</v>
      </c>
      <c r="AJ299" s="25">
        <v>4.7130000000000001</v>
      </c>
      <c r="AK299" s="25">
        <v>4.6120000000000001</v>
      </c>
      <c r="AL299" s="25">
        <v>6.48</v>
      </c>
      <c r="AM299" s="25">
        <v>7.944</v>
      </c>
    </row>
    <row r="300" spans="1:39" x14ac:dyDescent="0.2">
      <c r="A300" s="24">
        <v>5.8129999999999997</v>
      </c>
      <c r="S300" s="1"/>
      <c r="AD300" s="24">
        <v>29.795000000000002</v>
      </c>
      <c r="AE300" s="24">
        <v>4.9610000000000003</v>
      </c>
      <c r="AF300" s="24">
        <v>5.8129999999999997</v>
      </c>
      <c r="AG300" s="25">
        <v>59.860999999999997</v>
      </c>
      <c r="AH300" s="25">
        <v>9.3529999999999998</v>
      </c>
      <c r="AI300" s="25">
        <v>4.7130000000000001</v>
      </c>
      <c r="AJ300" s="25">
        <v>4.6120000000000001</v>
      </c>
      <c r="AK300" s="25">
        <v>6.48</v>
      </c>
      <c r="AL300" s="25">
        <v>7.944</v>
      </c>
      <c r="AM300" s="25">
        <v>5.2809999999999997</v>
      </c>
    </row>
    <row r="301" spans="1:39" x14ac:dyDescent="0.2">
      <c r="AD301" s="24">
        <v>4.9610000000000003</v>
      </c>
      <c r="AE301" s="24">
        <v>5.8129999999999997</v>
      </c>
      <c r="AF301" s="25">
        <v>59.860999999999997</v>
      </c>
      <c r="AG301" s="25">
        <v>9.3529999999999998</v>
      </c>
      <c r="AH301" s="25">
        <v>4.7130000000000001</v>
      </c>
      <c r="AI301" s="25">
        <v>4.6120000000000001</v>
      </c>
      <c r="AJ301" s="25">
        <v>6.48</v>
      </c>
      <c r="AK301" s="25">
        <v>7.944</v>
      </c>
      <c r="AL301" s="25">
        <v>5.2809999999999997</v>
      </c>
      <c r="AM301" s="25">
        <v>5.3449999999999998</v>
      </c>
    </row>
    <row r="302" spans="1:39" x14ac:dyDescent="0.2">
      <c r="AD302" s="24">
        <v>5.8129999999999997</v>
      </c>
      <c r="AE302" s="25">
        <v>59.860999999999997</v>
      </c>
      <c r="AF302" s="25">
        <v>9.3529999999999998</v>
      </c>
      <c r="AG302" s="25">
        <v>4.7130000000000001</v>
      </c>
      <c r="AH302" s="25">
        <v>4.6120000000000001</v>
      </c>
      <c r="AI302" s="25">
        <v>6.48</v>
      </c>
      <c r="AJ302" s="25">
        <v>7.944</v>
      </c>
      <c r="AK302" s="25">
        <v>5.2809999999999997</v>
      </c>
      <c r="AL302" s="25">
        <v>5.3449999999999998</v>
      </c>
      <c r="AM302" s="25">
        <v>9.2080000000000002</v>
      </c>
    </row>
    <row r="303" spans="1:39" x14ac:dyDescent="0.2">
      <c r="AD303" s="25">
        <v>59.860999999999997</v>
      </c>
      <c r="AE303" s="25">
        <v>9.3529999999999998</v>
      </c>
      <c r="AF303" s="25">
        <v>4.7130000000000001</v>
      </c>
      <c r="AG303" s="25">
        <v>4.6120000000000001</v>
      </c>
      <c r="AH303" s="25">
        <v>6.48</v>
      </c>
      <c r="AI303" s="25">
        <v>7.944</v>
      </c>
      <c r="AJ303" s="25">
        <v>5.2809999999999997</v>
      </c>
      <c r="AK303" s="25">
        <v>5.3449999999999998</v>
      </c>
      <c r="AL303" s="25">
        <v>9.2080000000000002</v>
      </c>
      <c r="AM303" s="25">
        <v>8.8230000000000004</v>
      </c>
    </row>
    <row r="304" spans="1:39" x14ac:dyDescent="0.2">
      <c r="AE304" s="24"/>
      <c r="AF304" s="24"/>
      <c r="AG304" s="24"/>
      <c r="AH304" s="24"/>
      <c r="AI304" s="24"/>
      <c r="AJ304" s="24"/>
      <c r="AK304" s="24"/>
      <c r="AL304" s="24"/>
    </row>
    <row r="305" spans="31:37" x14ac:dyDescent="0.2">
      <c r="AE305" s="24"/>
      <c r="AF305" s="24"/>
      <c r="AG305" s="24"/>
      <c r="AH305" s="24"/>
      <c r="AI305" s="24"/>
      <c r="AJ305" s="24"/>
      <c r="AK305" s="24"/>
    </row>
    <row r="306" spans="31:37" x14ac:dyDescent="0.2">
      <c r="AE306" s="24"/>
      <c r="AF306" s="24"/>
      <c r="AG306" s="24"/>
      <c r="AH306" s="24"/>
      <c r="AI306" s="24"/>
      <c r="AJ306" s="24"/>
    </row>
    <row r="307" spans="31:37" x14ac:dyDescent="0.2">
      <c r="AE307" s="24"/>
      <c r="AF307" s="24"/>
      <c r="AG307" s="24"/>
      <c r="AH307" s="24"/>
      <c r="AI307" s="24"/>
    </row>
    <row r="308" spans="31:37" x14ac:dyDescent="0.2">
      <c r="AE308" s="24"/>
      <c r="AF308" s="24"/>
      <c r="AG308" s="24"/>
      <c r="AH308" s="24"/>
    </row>
    <row r="309" spans="31:37" x14ac:dyDescent="0.2">
      <c r="AE309" s="24"/>
      <c r="AF309" s="24"/>
      <c r="AG309" s="24"/>
    </row>
    <row r="310" spans="31:37" x14ac:dyDescent="0.2">
      <c r="AE310" s="24"/>
      <c r="AF310" s="24"/>
    </row>
    <row r="311" spans="31:37" x14ac:dyDescent="0.2">
      <c r="AE311" s="24"/>
    </row>
  </sheetData>
  <mergeCells count="20">
    <mergeCell ref="J25:J26"/>
    <mergeCell ref="J23:J24"/>
    <mergeCell ref="C17:H17"/>
    <mergeCell ref="C19:J19"/>
    <mergeCell ref="C25:C26"/>
    <mergeCell ref="C20:J20"/>
    <mergeCell ref="C21:C22"/>
    <mergeCell ref="E21:J21"/>
    <mergeCell ref="C23:C24"/>
    <mergeCell ref="C33:C34"/>
    <mergeCell ref="C35:C36"/>
    <mergeCell ref="J37:J38"/>
    <mergeCell ref="C27:C28"/>
    <mergeCell ref="C29:C30"/>
    <mergeCell ref="C31:C32"/>
    <mergeCell ref="J35:J36"/>
    <mergeCell ref="J33:J34"/>
    <mergeCell ref="J31:J32"/>
    <mergeCell ref="J29:J30"/>
    <mergeCell ref="J27:J28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261-55BC-4608-BAAA-A7AFA0E310C5}">
  <dimension ref="A1:AM303"/>
  <sheetViews>
    <sheetView zoomScale="70" zoomScaleNormal="70" workbookViewId="0">
      <selection sqref="A1:A1048576"/>
    </sheetView>
  </sheetViews>
  <sheetFormatPr baseColWidth="10" defaultColWidth="8.83203125" defaultRowHeight="15" x14ac:dyDescent="0.2"/>
  <cols>
    <col min="3" max="3" width="21.5" customWidth="1"/>
    <col min="4" max="4" width="7.6640625" bestFit="1" customWidth="1"/>
    <col min="5" max="9" width="12.83203125" bestFit="1" customWidth="1"/>
    <col min="10" max="10" width="16.5" bestFit="1" customWidth="1"/>
  </cols>
  <sheetData>
    <row r="1" spans="1:39" x14ac:dyDescent="0.2">
      <c r="A1">
        <v>4.6849640071557896</v>
      </c>
      <c r="AC1" s="11" t="s">
        <v>12</v>
      </c>
      <c r="AD1" s="12">
        <v>1</v>
      </c>
      <c r="AE1" s="12">
        <v>2</v>
      </c>
      <c r="AF1" s="12">
        <v>3</v>
      </c>
      <c r="AG1" s="12">
        <v>4</v>
      </c>
      <c r="AH1" s="12">
        <v>5</v>
      </c>
      <c r="AI1" s="12">
        <v>6</v>
      </c>
      <c r="AJ1" s="12">
        <v>7</v>
      </c>
      <c r="AK1" s="12">
        <v>8</v>
      </c>
      <c r="AL1" s="12">
        <v>9</v>
      </c>
      <c r="AM1" s="12">
        <v>10</v>
      </c>
    </row>
    <row r="2" spans="1:39" x14ac:dyDescent="0.2">
      <c r="A2">
        <v>4.3023189820370997E-2</v>
      </c>
      <c r="AC2" s="13" t="s">
        <v>13</v>
      </c>
      <c r="AD2" s="14">
        <f>COVAR($A1:$A300,AD4:AD303)/SQRT(VAR($A1:$A300)*VAR(AD4:AD303))</f>
        <v>4.4795477769575633E-2</v>
      </c>
      <c r="AE2" s="14">
        <f t="shared" ref="AE2:AM2" si="0">COVAR($A1:$A300,AE4:AE303)/SQRT(VAR($A1:$A300)*VAR(AE4:AE303))</f>
        <v>-2.6511802315611947E-2</v>
      </c>
      <c r="AF2" s="14">
        <f t="shared" si="0"/>
        <v>8.2055310723911631E-2</v>
      </c>
      <c r="AG2" s="14">
        <f t="shared" si="0"/>
        <v>0.13916811855557087</v>
      </c>
      <c r="AH2" s="14">
        <f t="shared" si="0"/>
        <v>1.1409786630470499E-2</v>
      </c>
      <c r="AI2" s="14">
        <f t="shared" si="0"/>
        <v>-5.1629124240805721E-2</v>
      </c>
      <c r="AJ2" s="14">
        <f t="shared" si="0"/>
        <v>-8.4476838123919776E-2</v>
      </c>
      <c r="AK2" s="14">
        <f>COVAR($A1:$A300,AK4:AK303)/SQRT(VAR($A1:$A300)*VAR(AK4:AK303))</f>
        <v>-6.4710709760269089E-2</v>
      </c>
      <c r="AL2" s="14">
        <f t="shared" si="0"/>
        <v>-5.4542777981611029E-2</v>
      </c>
      <c r="AM2" s="14">
        <f t="shared" si="0"/>
        <v>-6.0353986030105132E-2</v>
      </c>
    </row>
    <row r="3" spans="1:39" x14ac:dyDescent="0.2">
      <c r="A3">
        <v>3.434501430983198</v>
      </c>
    </row>
    <row r="4" spans="1:39" x14ac:dyDescent="0.2">
      <c r="A4">
        <v>1.1980629476460529</v>
      </c>
      <c r="AD4">
        <v>4.3023189820370997E-2</v>
      </c>
      <c r="AE4">
        <f t="shared" ref="AE4:AE67" si="1">$A3</f>
        <v>3.434501430983198</v>
      </c>
      <c r="AF4">
        <f>$A4</f>
        <v>1.1980629476460529</v>
      </c>
      <c r="AG4">
        <f>$A5</f>
        <v>19.197822498212521</v>
      </c>
      <c r="AH4">
        <f>$A6</f>
        <v>13.41269610922771</v>
      </c>
      <c r="AI4">
        <f>$A7</f>
        <v>44.72883677205369</v>
      </c>
      <c r="AJ4">
        <f>$A8</f>
        <v>2.645055165506085</v>
      </c>
      <c r="AK4">
        <f>$A9</f>
        <v>3.482134264920183</v>
      </c>
      <c r="AL4">
        <f>$A10</f>
        <v>0.74656760107906694</v>
      </c>
      <c r="AM4">
        <f>$A11</f>
        <v>0.902907504019408</v>
      </c>
    </row>
    <row r="5" spans="1:39" x14ac:dyDescent="0.2">
      <c r="A5">
        <v>19.197822498212521</v>
      </c>
      <c r="AD5">
        <v>3.434501430983198</v>
      </c>
      <c r="AE5">
        <f t="shared" si="1"/>
        <v>1.1980629476460529</v>
      </c>
      <c r="AF5">
        <f>$A5</f>
        <v>19.197822498212521</v>
      </c>
      <c r="AG5">
        <f>$A6</f>
        <v>13.41269610922771</v>
      </c>
      <c r="AH5">
        <f>$A7</f>
        <v>44.72883677205369</v>
      </c>
      <c r="AI5">
        <f>$A8</f>
        <v>2.645055165506085</v>
      </c>
      <c r="AJ5">
        <f>$A9</f>
        <v>3.482134264920183</v>
      </c>
      <c r="AK5">
        <f>$A10</f>
        <v>0.74656760107906694</v>
      </c>
      <c r="AL5">
        <f>$A11</f>
        <v>0.902907504019408</v>
      </c>
      <c r="AM5">
        <f t="shared" ref="AM5:AM68" si="2">$A12</f>
        <v>0.24115809461232601</v>
      </c>
    </row>
    <row r="6" spans="1:39" x14ac:dyDescent="0.2">
      <c r="A6">
        <v>13.41269610922771</v>
      </c>
      <c r="AD6">
        <v>1.1980629476460529</v>
      </c>
      <c r="AE6">
        <f t="shared" si="1"/>
        <v>19.197822498212521</v>
      </c>
      <c r="AF6">
        <f t="shared" ref="AF6:AF68" si="3">$A6</f>
        <v>13.41269610922771</v>
      </c>
      <c r="AG6">
        <f t="shared" ref="AG6:AG68" si="4">$A7</f>
        <v>44.72883677205369</v>
      </c>
      <c r="AH6">
        <f t="shared" ref="AH6:AH68" si="5">$A8</f>
        <v>2.645055165506085</v>
      </c>
      <c r="AI6">
        <f t="shared" ref="AI6:AI68" si="6">$A9</f>
        <v>3.482134264920183</v>
      </c>
      <c r="AJ6">
        <f t="shared" ref="AJ6:AJ68" si="7">$A10</f>
        <v>0.74656760107906694</v>
      </c>
      <c r="AK6">
        <f t="shared" ref="AK6:AK68" si="8">$A11</f>
        <v>0.902907504019408</v>
      </c>
      <c r="AL6">
        <f t="shared" ref="AL6:AL68" si="9">$A12</f>
        <v>0.24115809461232601</v>
      </c>
      <c r="AM6">
        <f t="shared" si="2"/>
        <v>2.2651086133351028</v>
      </c>
    </row>
    <row r="7" spans="1:39" x14ac:dyDescent="0.2">
      <c r="A7">
        <v>44.72883677205369</v>
      </c>
      <c r="AD7">
        <v>19.197822498212521</v>
      </c>
      <c r="AE7">
        <f t="shared" si="1"/>
        <v>13.41269610922771</v>
      </c>
      <c r="AF7">
        <f t="shared" si="3"/>
        <v>44.72883677205369</v>
      </c>
      <c r="AG7">
        <f t="shared" si="4"/>
        <v>2.645055165506085</v>
      </c>
      <c r="AH7">
        <f t="shared" si="5"/>
        <v>3.482134264920183</v>
      </c>
      <c r="AI7">
        <f t="shared" si="6"/>
        <v>0.74656760107906694</v>
      </c>
      <c r="AJ7">
        <f t="shared" si="7"/>
        <v>0.902907504019408</v>
      </c>
      <c r="AK7">
        <f t="shared" si="8"/>
        <v>0.24115809461232601</v>
      </c>
      <c r="AL7">
        <f t="shared" si="9"/>
        <v>2.2651086133351028</v>
      </c>
      <c r="AM7">
        <f t="shared" si="2"/>
        <v>3.0694651705834208</v>
      </c>
    </row>
    <row r="8" spans="1:39" x14ac:dyDescent="0.2">
      <c r="A8">
        <v>2.645055165506085</v>
      </c>
      <c r="AD8">
        <v>13.41269610922771</v>
      </c>
      <c r="AE8">
        <f t="shared" si="1"/>
        <v>44.72883677205369</v>
      </c>
      <c r="AF8">
        <f t="shared" si="3"/>
        <v>2.645055165506085</v>
      </c>
      <c r="AG8">
        <f t="shared" si="4"/>
        <v>3.482134264920183</v>
      </c>
      <c r="AH8">
        <f t="shared" si="5"/>
        <v>0.74656760107906694</v>
      </c>
      <c r="AI8">
        <f t="shared" si="6"/>
        <v>0.902907504019408</v>
      </c>
      <c r="AJ8">
        <f t="shared" si="7"/>
        <v>0.24115809461232601</v>
      </c>
      <c r="AK8">
        <f t="shared" si="8"/>
        <v>2.2651086133351028</v>
      </c>
      <c r="AL8">
        <f t="shared" si="9"/>
        <v>3.0694651705834208</v>
      </c>
      <c r="AM8">
        <f t="shared" si="2"/>
        <v>0.72086473953368302</v>
      </c>
    </row>
    <row r="9" spans="1:39" x14ac:dyDescent="0.2">
      <c r="A9">
        <v>3.482134264920183</v>
      </c>
      <c r="AD9">
        <v>44.72883677205369</v>
      </c>
      <c r="AE9">
        <f t="shared" si="1"/>
        <v>2.645055165506085</v>
      </c>
      <c r="AF9">
        <f t="shared" si="3"/>
        <v>3.482134264920183</v>
      </c>
      <c r="AG9">
        <f t="shared" si="4"/>
        <v>0.74656760107906694</v>
      </c>
      <c r="AH9">
        <f t="shared" si="5"/>
        <v>0.902907504019408</v>
      </c>
      <c r="AI9">
        <f t="shared" si="6"/>
        <v>0.24115809461232601</v>
      </c>
      <c r="AJ9">
        <f t="shared" si="7"/>
        <v>2.2651086133351028</v>
      </c>
      <c r="AK9">
        <f t="shared" si="8"/>
        <v>3.0694651705834208</v>
      </c>
      <c r="AL9">
        <f t="shared" si="9"/>
        <v>0.72086473953368302</v>
      </c>
      <c r="AM9">
        <f t="shared" si="2"/>
        <v>1.6246154705785689</v>
      </c>
    </row>
    <row r="10" spans="1:39" x14ac:dyDescent="0.2">
      <c r="A10">
        <v>0.74656760107906694</v>
      </c>
      <c r="AD10">
        <v>2.645055165506085</v>
      </c>
      <c r="AE10">
        <f t="shared" si="1"/>
        <v>3.482134264920183</v>
      </c>
      <c r="AF10">
        <f t="shared" si="3"/>
        <v>0.74656760107906694</v>
      </c>
      <c r="AG10">
        <f t="shared" si="4"/>
        <v>0.902907504019408</v>
      </c>
      <c r="AH10">
        <f t="shared" si="5"/>
        <v>0.24115809461232601</v>
      </c>
      <c r="AI10">
        <f t="shared" si="6"/>
        <v>2.2651086133351028</v>
      </c>
      <c r="AJ10">
        <f t="shared" si="7"/>
        <v>3.0694651705834208</v>
      </c>
      <c r="AK10">
        <f t="shared" si="8"/>
        <v>0.72086473953368302</v>
      </c>
      <c r="AL10">
        <f t="shared" si="9"/>
        <v>1.6246154705785689</v>
      </c>
      <c r="AM10">
        <f t="shared" si="2"/>
        <v>3.0990787936121711</v>
      </c>
    </row>
    <row r="11" spans="1:39" x14ac:dyDescent="0.2">
      <c r="A11">
        <v>0.902907504019408</v>
      </c>
      <c r="AD11">
        <v>3.482134264920183</v>
      </c>
      <c r="AE11">
        <f t="shared" si="1"/>
        <v>0.74656760107906694</v>
      </c>
      <c r="AF11">
        <f t="shared" si="3"/>
        <v>0.902907504019408</v>
      </c>
      <c r="AG11">
        <f t="shared" si="4"/>
        <v>0.24115809461232601</v>
      </c>
      <c r="AH11">
        <f t="shared" si="5"/>
        <v>2.2651086133351028</v>
      </c>
      <c r="AI11">
        <f t="shared" si="6"/>
        <v>3.0694651705834208</v>
      </c>
      <c r="AJ11">
        <f t="shared" si="7"/>
        <v>0.72086473953368302</v>
      </c>
      <c r="AK11">
        <f t="shared" si="8"/>
        <v>1.6246154705785689</v>
      </c>
      <c r="AL11">
        <f t="shared" si="9"/>
        <v>3.0990787936121711</v>
      </c>
      <c r="AM11">
        <f t="shared" si="2"/>
        <v>3.3035632884296571</v>
      </c>
    </row>
    <row r="12" spans="1:39" x14ac:dyDescent="0.2">
      <c r="A12">
        <v>0.24115809461232601</v>
      </c>
      <c r="AD12">
        <v>0.74656760107906694</v>
      </c>
      <c r="AE12">
        <f t="shared" si="1"/>
        <v>0.902907504019408</v>
      </c>
      <c r="AF12">
        <f t="shared" si="3"/>
        <v>0.24115809461232601</v>
      </c>
      <c r="AG12">
        <f t="shared" si="4"/>
        <v>2.2651086133351028</v>
      </c>
      <c r="AH12">
        <f t="shared" si="5"/>
        <v>3.0694651705834208</v>
      </c>
      <c r="AI12">
        <f t="shared" si="6"/>
        <v>0.72086473953368302</v>
      </c>
      <c r="AJ12">
        <f t="shared" si="7"/>
        <v>1.6246154705785689</v>
      </c>
      <c r="AK12">
        <f t="shared" si="8"/>
        <v>3.0990787936121711</v>
      </c>
      <c r="AL12">
        <f t="shared" si="9"/>
        <v>3.3035632884296571</v>
      </c>
      <c r="AM12">
        <f t="shared" si="2"/>
        <v>0.99493259426785896</v>
      </c>
    </row>
    <row r="13" spans="1:39" x14ac:dyDescent="0.2">
      <c r="A13">
        <v>2.2651086133351028</v>
      </c>
      <c r="AD13">
        <v>0.902907504019408</v>
      </c>
      <c r="AE13">
        <f t="shared" si="1"/>
        <v>0.24115809461232601</v>
      </c>
      <c r="AF13">
        <f t="shared" si="3"/>
        <v>2.2651086133351028</v>
      </c>
      <c r="AG13">
        <f t="shared" si="4"/>
        <v>3.0694651705834208</v>
      </c>
      <c r="AH13">
        <f t="shared" si="5"/>
        <v>0.72086473953368302</v>
      </c>
      <c r="AI13">
        <f t="shared" si="6"/>
        <v>1.6246154705785689</v>
      </c>
      <c r="AJ13">
        <f t="shared" si="7"/>
        <v>3.0990787936121711</v>
      </c>
      <c r="AK13">
        <f t="shared" si="8"/>
        <v>3.3035632884296571</v>
      </c>
      <c r="AL13">
        <f t="shared" si="9"/>
        <v>0.99493259426785896</v>
      </c>
      <c r="AM13">
        <f t="shared" si="2"/>
        <v>3.6606518359240002E-3</v>
      </c>
    </row>
    <row r="14" spans="1:39" x14ac:dyDescent="0.2">
      <c r="A14">
        <v>3.0694651705834208</v>
      </c>
      <c r="AD14">
        <v>0.24115809461232601</v>
      </c>
      <c r="AE14">
        <f t="shared" si="1"/>
        <v>2.2651086133351028</v>
      </c>
      <c r="AF14">
        <f t="shared" si="3"/>
        <v>3.0694651705834208</v>
      </c>
      <c r="AG14">
        <f t="shared" si="4"/>
        <v>0.72086473953368302</v>
      </c>
      <c r="AH14">
        <f t="shared" si="5"/>
        <v>1.6246154705785689</v>
      </c>
      <c r="AI14">
        <f t="shared" si="6"/>
        <v>3.0990787936121711</v>
      </c>
      <c r="AJ14">
        <f t="shared" si="7"/>
        <v>3.3035632884296571</v>
      </c>
      <c r="AK14">
        <f t="shared" si="8"/>
        <v>0.99493259426785896</v>
      </c>
      <c r="AL14">
        <f t="shared" si="9"/>
        <v>3.6606518359240002E-3</v>
      </c>
      <c r="AM14">
        <f t="shared" si="2"/>
        <v>14.860597716977621</v>
      </c>
    </row>
    <row r="15" spans="1:39" x14ac:dyDescent="0.2">
      <c r="A15">
        <v>0.72086473953368302</v>
      </c>
      <c r="AD15">
        <v>2.2651086133351028</v>
      </c>
      <c r="AE15">
        <f t="shared" si="1"/>
        <v>3.0694651705834208</v>
      </c>
      <c r="AF15">
        <f t="shared" si="3"/>
        <v>0.72086473953368302</v>
      </c>
      <c r="AG15">
        <f t="shared" si="4"/>
        <v>1.6246154705785689</v>
      </c>
      <c r="AH15">
        <f t="shared" si="5"/>
        <v>3.0990787936121711</v>
      </c>
      <c r="AI15">
        <f t="shared" si="6"/>
        <v>3.3035632884296571</v>
      </c>
      <c r="AJ15">
        <f t="shared" si="7"/>
        <v>0.99493259426785896</v>
      </c>
      <c r="AK15">
        <f t="shared" si="8"/>
        <v>3.6606518359240002E-3</v>
      </c>
      <c r="AL15">
        <f t="shared" si="9"/>
        <v>14.860597716977621</v>
      </c>
      <c r="AM15">
        <f t="shared" si="2"/>
        <v>3.020449365722826</v>
      </c>
    </row>
    <row r="16" spans="1:39" x14ac:dyDescent="0.2">
      <c r="A16">
        <v>1.6246154705785689</v>
      </c>
      <c r="AD16">
        <v>3.0694651705834208</v>
      </c>
      <c r="AE16">
        <f t="shared" si="1"/>
        <v>0.72086473953368302</v>
      </c>
      <c r="AF16">
        <f t="shared" si="3"/>
        <v>1.6246154705785689</v>
      </c>
      <c r="AG16">
        <f t="shared" si="4"/>
        <v>3.0990787936121711</v>
      </c>
      <c r="AH16">
        <f t="shared" si="5"/>
        <v>3.3035632884296571</v>
      </c>
      <c r="AI16">
        <f t="shared" si="6"/>
        <v>0.99493259426785896</v>
      </c>
      <c r="AJ16">
        <f t="shared" si="7"/>
        <v>3.6606518359240002E-3</v>
      </c>
      <c r="AK16">
        <f t="shared" si="8"/>
        <v>14.860597716977621</v>
      </c>
      <c r="AL16">
        <f t="shared" si="9"/>
        <v>3.020449365722826</v>
      </c>
      <c r="AM16">
        <f t="shared" si="2"/>
        <v>0.87024585445884395</v>
      </c>
    </row>
    <row r="17" spans="1:39" x14ac:dyDescent="0.2">
      <c r="A17">
        <v>3.0990787936121711</v>
      </c>
      <c r="AD17">
        <v>0.72086473953368302</v>
      </c>
      <c r="AE17">
        <f t="shared" si="1"/>
        <v>1.6246154705785689</v>
      </c>
      <c r="AF17">
        <f t="shared" si="3"/>
        <v>3.0990787936121711</v>
      </c>
      <c r="AG17">
        <f t="shared" si="4"/>
        <v>3.3035632884296571</v>
      </c>
      <c r="AH17">
        <f t="shared" si="5"/>
        <v>0.99493259426785896</v>
      </c>
      <c r="AI17">
        <f t="shared" si="6"/>
        <v>3.6606518359240002E-3</v>
      </c>
      <c r="AJ17">
        <f t="shared" si="7"/>
        <v>14.860597716977621</v>
      </c>
      <c r="AK17">
        <f t="shared" si="8"/>
        <v>3.020449365722826</v>
      </c>
      <c r="AL17">
        <f t="shared" si="9"/>
        <v>0.87024585445884395</v>
      </c>
      <c r="AM17">
        <f t="shared" si="2"/>
        <v>0.88341313779128705</v>
      </c>
    </row>
    <row r="18" spans="1:39" x14ac:dyDescent="0.2">
      <c r="A18">
        <v>3.3035632884296571</v>
      </c>
      <c r="AD18">
        <v>1.6246154705785689</v>
      </c>
      <c r="AE18">
        <f t="shared" si="1"/>
        <v>3.0990787936121711</v>
      </c>
      <c r="AF18">
        <f t="shared" si="3"/>
        <v>3.3035632884296571</v>
      </c>
      <c r="AG18">
        <f t="shared" si="4"/>
        <v>0.99493259426785896</v>
      </c>
      <c r="AH18">
        <f t="shared" si="5"/>
        <v>3.6606518359240002E-3</v>
      </c>
      <c r="AI18">
        <f t="shared" si="6"/>
        <v>14.860597716977621</v>
      </c>
      <c r="AJ18">
        <f t="shared" si="7"/>
        <v>3.020449365722826</v>
      </c>
      <c r="AK18">
        <f t="shared" si="8"/>
        <v>0.87024585445884395</v>
      </c>
      <c r="AL18">
        <f t="shared" si="9"/>
        <v>0.88341313779128705</v>
      </c>
      <c r="AM18">
        <f t="shared" si="2"/>
        <v>6.5755809243100947</v>
      </c>
    </row>
    <row r="19" spans="1:39" x14ac:dyDescent="0.2">
      <c r="A19">
        <v>0.99493259426785896</v>
      </c>
      <c r="AD19">
        <v>3.0990787936121711</v>
      </c>
      <c r="AE19">
        <f t="shared" si="1"/>
        <v>3.3035632884296571</v>
      </c>
      <c r="AF19">
        <f t="shared" si="3"/>
        <v>0.99493259426785896</v>
      </c>
      <c r="AG19">
        <f t="shared" si="4"/>
        <v>3.6606518359240002E-3</v>
      </c>
      <c r="AH19">
        <f t="shared" si="5"/>
        <v>14.860597716977621</v>
      </c>
      <c r="AI19">
        <f t="shared" si="6"/>
        <v>3.020449365722826</v>
      </c>
      <c r="AJ19">
        <f t="shared" si="7"/>
        <v>0.87024585445884395</v>
      </c>
      <c r="AK19">
        <f t="shared" si="8"/>
        <v>0.88341313779128705</v>
      </c>
      <c r="AL19">
        <f t="shared" si="9"/>
        <v>6.5755809243100947</v>
      </c>
      <c r="AM19">
        <f t="shared" si="2"/>
        <v>4.0006411834307283</v>
      </c>
    </row>
    <row r="20" spans="1:39" ht="16" thickBot="1" x14ac:dyDescent="0.25">
      <c r="A20">
        <v>3.6606518359240002E-3</v>
      </c>
      <c r="AD20">
        <v>3.3035632884296571</v>
      </c>
      <c r="AE20">
        <f t="shared" si="1"/>
        <v>0.99493259426785896</v>
      </c>
      <c r="AF20">
        <f t="shared" si="3"/>
        <v>3.6606518359240002E-3</v>
      </c>
      <c r="AG20">
        <f t="shared" si="4"/>
        <v>14.860597716977621</v>
      </c>
      <c r="AH20">
        <f t="shared" si="5"/>
        <v>3.020449365722826</v>
      </c>
      <c r="AI20">
        <f t="shared" si="6"/>
        <v>0.87024585445884395</v>
      </c>
      <c r="AJ20">
        <f t="shared" si="7"/>
        <v>0.88341313779128705</v>
      </c>
      <c r="AK20">
        <f t="shared" si="8"/>
        <v>6.5755809243100947</v>
      </c>
      <c r="AL20">
        <f t="shared" si="9"/>
        <v>4.0006411834307283</v>
      </c>
      <c r="AM20">
        <f t="shared" si="2"/>
        <v>2.8929408114782809</v>
      </c>
    </row>
    <row r="21" spans="1:39" ht="19" thickBot="1" x14ac:dyDescent="0.25">
      <c r="A21">
        <v>14.860597716977621</v>
      </c>
      <c r="C21" s="45" t="s">
        <v>0</v>
      </c>
      <c r="D21" s="6"/>
      <c r="E21" s="41" t="s">
        <v>1</v>
      </c>
      <c r="F21" s="42"/>
      <c r="G21" s="42"/>
      <c r="H21" s="42"/>
      <c r="I21" s="42"/>
      <c r="J21" s="43"/>
      <c r="AD21">
        <v>0.99493259426785896</v>
      </c>
      <c r="AE21">
        <f t="shared" si="1"/>
        <v>3.6606518359240002E-3</v>
      </c>
      <c r="AF21">
        <f t="shared" si="3"/>
        <v>14.860597716977621</v>
      </c>
      <c r="AG21">
        <f t="shared" si="4"/>
        <v>3.020449365722826</v>
      </c>
      <c r="AH21">
        <f t="shared" si="5"/>
        <v>0.87024585445884395</v>
      </c>
      <c r="AI21">
        <f t="shared" si="6"/>
        <v>0.88341313779128705</v>
      </c>
      <c r="AJ21">
        <f t="shared" si="7"/>
        <v>6.5755809243100947</v>
      </c>
      <c r="AK21">
        <f t="shared" si="8"/>
        <v>4.0006411834307283</v>
      </c>
      <c r="AL21">
        <f t="shared" si="9"/>
        <v>2.8929408114782809</v>
      </c>
      <c r="AM21">
        <f t="shared" si="2"/>
        <v>0.45716243330027301</v>
      </c>
    </row>
    <row r="22" spans="1:39" ht="19" thickBot="1" x14ac:dyDescent="0.25">
      <c r="A22">
        <v>3.020449365722826</v>
      </c>
      <c r="C22" s="46"/>
      <c r="D22" s="22"/>
      <c r="E22" s="8">
        <v>10</v>
      </c>
      <c r="F22" s="8">
        <v>20</v>
      </c>
      <c r="G22" s="8">
        <v>50</v>
      </c>
      <c r="H22" s="8">
        <v>100</v>
      </c>
      <c r="I22" s="19">
        <v>200</v>
      </c>
      <c r="J22" s="21">
        <v>300</v>
      </c>
      <c r="AD22">
        <v>3.6606518359240002E-3</v>
      </c>
      <c r="AE22">
        <f t="shared" si="1"/>
        <v>14.860597716977621</v>
      </c>
      <c r="AF22">
        <f t="shared" si="3"/>
        <v>3.020449365722826</v>
      </c>
      <c r="AG22">
        <f t="shared" si="4"/>
        <v>0.87024585445884395</v>
      </c>
      <c r="AH22">
        <f t="shared" si="5"/>
        <v>0.88341313779128705</v>
      </c>
      <c r="AI22">
        <f t="shared" si="6"/>
        <v>6.5755809243100947</v>
      </c>
      <c r="AJ22">
        <f t="shared" si="7"/>
        <v>4.0006411834307283</v>
      </c>
      <c r="AK22">
        <f t="shared" si="8"/>
        <v>2.8929408114782809</v>
      </c>
      <c r="AL22">
        <f t="shared" si="9"/>
        <v>0.45716243330027301</v>
      </c>
      <c r="AM22">
        <f t="shared" si="2"/>
        <v>1.20642849534251</v>
      </c>
    </row>
    <row r="23" spans="1:39" ht="19" x14ac:dyDescent="0.2">
      <c r="A23">
        <v>0.87024585445884395</v>
      </c>
      <c r="C23" s="44" t="s">
        <v>2</v>
      </c>
      <c r="D23" s="5" t="s">
        <v>3</v>
      </c>
      <c r="E23" s="9">
        <f>AVERAGE(A1:A10)</f>
        <v>9.3573663986604636</v>
      </c>
      <c r="F23" s="9">
        <f>AVERAGE(A1:A20)</f>
        <v>5.489950945370639</v>
      </c>
      <c r="G23" s="9">
        <f>AVERAGE(A1:A50)</f>
        <v>8.287774696333555</v>
      </c>
      <c r="H23" s="9">
        <f>AVERAGE(A1:A100)</f>
        <v>8.9784111148342625</v>
      </c>
      <c r="I23" s="9">
        <f>AVERAGE(A1:A200)</f>
        <v>9.3859798568846475</v>
      </c>
      <c r="J23" s="20">
        <f>AVERAGE(A1:A300)</f>
        <v>10.820591972969092</v>
      </c>
      <c r="AD23">
        <v>14.860597716977621</v>
      </c>
      <c r="AE23">
        <f t="shared" si="1"/>
        <v>3.020449365722826</v>
      </c>
      <c r="AF23">
        <f t="shared" si="3"/>
        <v>0.87024585445884395</v>
      </c>
      <c r="AG23">
        <f t="shared" si="4"/>
        <v>0.88341313779128705</v>
      </c>
      <c r="AH23">
        <f t="shared" si="5"/>
        <v>6.5755809243100947</v>
      </c>
      <c r="AI23">
        <f t="shared" si="6"/>
        <v>4.0006411834307283</v>
      </c>
      <c r="AJ23">
        <f t="shared" si="7"/>
        <v>2.8929408114782809</v>
      </c>
      <c r="AK23">
        <f t="shared" si="8"/>
        <v>0.45716243330027301</v>
      </c>
      <c r="AL23">
        <f t="shared" si="9"/>
        <v>1.20642849534251</v>
      </c>
      <c r="AM23">
        <f t="shared" si="2"/>
        <v>3.186457145869273</v>
      </c>
    </row>
    <row r="24" spans="1:39" ht="19" x14ac:dyDescent="0.2">
      <c r="A24">
        <v>0.88341313779128705</v>
      </c>
      <c r="C24" s="26"/>
      <c r="D24" s="3" t="s">
        <v>4</v>
      </c>
      <c r="E24" s="10">
        <f>(E23 - Лист1!$J23)/ Лист1!$J23 * 100</f>
        <v>-38.574337117469184</v>
      </c>
      <c r="F24" s="10">
        <f>(F23 - Лист1!$J23)/ Лист1!$J23 * 100</f>
        <v>-63.96166809710018</v>
      </c>
      <c r="G24" s="10">
        <f>(G23 - Лист1!$J23)/ Лист1!$J23 * 100</f>
        <v>-45.595583965138864</v>
      </c>
      <c r="H24" s="10">
        <f>(H23 - Лист1!$J23)/ Лист1!$J23 * 100</f>
        <v>-41.06195794155002</v>
      </c>
      <c r="I24" s="10">
        <f>(I23 - Лист1!$J23)/ Лист1!$J23 * 100</f>
        <v>-38.38650642196135</v>
      </c>
      <c r="J24" s="10">
        <f>(J23 - Лист1!$J23)/ Лист1!$J23 * 100</f>
        <v>-28.969113059827723</v>
      </c>
      <c r="AD24">
        <v>3.020449365722826</v>
      </c>
      <c r="AE24">
        <f t="shared" si="1"/>
        <v>0.87024585445884395</v>
      </c>
      <c r="AF24">
        <f t="shared" si="3"/>
        <v>0.88341313779128705</v>
      </c>
      <c r="AG24">
        <f t="shared" si="4"/>
        <v>6.5755809243100947</v>
      </c>
      <c r="AH24">
        <f t="shared" si="5"/>
        <v>4.0006411834307283</v>
      </c>
      <c r="AI24">
        <f t="shared" si="6"/>
        <v>2.8929408114782809</v>
      </c>
      <c r="AJ24">
        <f t="shared" si="7"/>
        <v>0.45716243330027301</v>
      </c>
      <c r="AK24">
        <f t="shared" si="8"/>
        <v>1.20642849534251</v>
      </c>
      <c r="AL24">
        <f t="shared" si="9"/>
        <v>3.186457145869273</v>
      </c>
      <c r="AM24">
        <f t="shared" si="2"/>
        <v>66.18760034366187</v>
      </c>
    </row>
    <row r="25" spans="1:39" ht="19" x14ac:dyDescent="0.2">
      <c r="A25">
        <v>6.5755809243100947</v>
      </c>
      <c r="C25" s="26" t="s">
        <v>5</v>
      </c>
      <c r="D25" s="3" t="s">
        <v>3</v>
      </c>
      <c r="E25" s="4">
        <f>CONFIDENCE(0.1,E33, E22)</f>
        <v>7.2081870451166195</v>
      </c>
      <c r="F25" s="4">
        <f t="shared" ref="F25:I25" si="10">CONFIDENCE(0.1,F33, F22)</f>
        <v>3.8123044038272744</v>
      </c>
      <c r="G25" s="4">
        <f t="shared" si="10"/>
        <v>4.1282133036793152</v>
      </c>
      <c r="H25" s="4">
        <f t="shared" si="10"/>
        <v>4.369791612927318</v>
      </c>
      <c r="I25" s="4">
        <f t="shared" si="10"/>
        <v>2.8949255715192832</v>
      </c>
      <c r="J25" s="16">
        <f>CONFIDENCE(0.1, J33, J22)</f>
        <v>2.5566864616939591</v>
      </c>
      <c r="AD25">
        <v>0.87024585445884395</v>
      </c>
      <c r="AE25">
        <f t="shared" si="1"/>
        <v>0.88341313779128705</v>
      </c>
      <c r="AF25">
        <f t="shared" si="3"/>
        <v>6.5755809243100947</v>
      </c>
      <c r="AG25">
        <f t="shared" si="4"/>
        <v>4.0006411834307283</v>
      </c>
      <c r="AH25">
        <f t="shared" si="5"/>
        <v>2.8929408114782809</v>
      </c>
      <c r="AI25">
        <f t="shared" si="6"/>
        <v>0.45716243330027301</v>
      </c>
      <c r="AJ25">
        <f t="shared" si="7"/>
        <v>1.20642849534251</v>
      </c>
      <c r="AK25">
        <f t="shared" si="8"/>
        <v>3.186457145869273</v>
      </c>
      <c r="AL25">
        <f t="shared" si="9"/>
        <v>66.18760034366187</v>
      </c>
      <c r="AM25">
        <f t="shared" si="2"/>
        <v>1.05777557056058</v>
      </c>
    </row>
    <row r="26" spans="1:39" ht="19" x14ac:dyDescent="0.2">
      <c r="A26">
        <v>4.0006411834307283</v>
      </c>
      <c r="C26" s="26"/>
      <c r="D26" s="3" t="s">
        <v>4</v>
      </c>
      <c r="E26" s="10">
        <f>(E25 - Лист1!$J25)/ Лист1!$J25 * 100</f>
        <v>174.14033182126707</v>
      </c>
      <c r="F26" s="10">
        <f>(F25 - Лист1!$J25)/ Лист1!$J25 * 100</f>
        <v>44.988800613452753</v>
      </c>
      <c r="G26" s="10">
        <f>(G25 - Лист1!$J25)/ Лист1!$J25 * 100</f>
        <v>57.003384875580309</v>
      </c>
      <c r="H26" s="10">
        <f>(H25 - Лист1!$J25)/ Лист1!$J25 * 100</f>
        <v>66.19104294321258</v>
      </c>
      <c r="I26" s="10">
        <f>(I25 - Лист1!$J25)/ Лист1!$J25 * 100</f>
        <v>10.099231860502833</v>
      </c>
      <c r="J26" s="10">
        <f>(J25 - Лист1!$J25)/ Лист1!$J25 * 100</f>
        <v>-2.7646104929310149</v>
      </c>
      <c r="AD26">
        <v>0.88341313779128705</v>
      </c>
      <c r="AE26">
        <f t="shared" si="1"/>
        <v>6.5755809243100947</v>
      </c>
      <c r="AF26">
        <f t="shared" si="3"/>
        <v>4.0006411834307283</v>
      </c>
      <c r="AG26">
        <f t="shared" si="4"/>
        <v>2.8929408114782809</v>
      </c>
      <c r="AH26">
        <f t="shared" si="5"/>
        <v>0.45716243330027301</v>
      </c>
      <c r="AI26">
        <f t="shared" si="6"/>
        <v>1.20642849534251</v>
      </c>
      <c r="AJ26">
        <f t="shared" si="7"/>
        <v>3.186457145869273</v>
      </c>
      <c r="AK26">
        <f t="shared" si="8"/>
        <v>66.18760034366187</v>
      </c>
      <c r="AL26">
        <f t="shared" si="9"/>
        <v>1.05777557056058</v>
      </c>
      <c r="AM26">
        <f t="shared" si="2"/>
        <v>1.9484038627893661</v>
      </c>
    </row>
    <row r="27" spans="1:39" ht="19" x14ac:dyDescent="0.2">
      <c r="A27">
        <v>2.8929408114782809</v>
      </c>
      <c r="C27" s="26" t="s">
        <v>6</v>
      </c>
      <c r="D27" s="3" t="s">
        <v>3</v>
      </c>
      <c r="E27" s="4">
        <f>CONFIDENCE(0.05, E33, E22)</f>
        <v>8.5890846278162964</v>
      </c>
      <c r="F27" s="4">
        <f t="shared" ref="F27:I27" si="11">CONFIDENCE(0.05, F33, F22)</f>
        <v>4.54264088133682</v>
      </c>
      <c r="G27" s="4">
        <f t="shared" si="11"/>
        <v>4.9190695531410249</v>
      </c>
      <c r="H27" s="4">
        <f t="shared" si="11"/>
        <v>5.2069278633359009</v>
      </c>
      <c r="I27" s="4">
        <f t="shared" si="11"/>
        <v>3.4495165801578196</v>
      </c>
      <c r="J27" s="16">
        <f>CONFIDENCE(0.05, J33, J22)</f>
        <v>3.0464798220183176</v>
      </c>
      <c r="AD27">
        <v>6.5755809243100947</v>
      </c>
      <c r="AE27">
        <f t="shared" si="1"/>
        <v>4.0006411834307283</v>
      </c>
      <c r="AF27">
        <f t="shared" si="3"/>
        <v>2.8929408114782809</v>
      </c>
      <c r="AG27">
        <f t="shared" si="4"/>
        <v>0.45716243330027301</v>
      </c>
      <c r="AH27">
        <f t="shared" si="5"/>
        <v>1.20642849534251</v>
      </c>
      <c r="AI27">
        <f t="shared" si="6"/>
        <v>3.186457145869273</v>
      </c>
      <c r="AJ27">
        <f t="shared" si="7"/>
        <v>66.18760034366187</v>
      </c>
      <c r="AK27">
        <f t="shared" si="8"/>
        <v>1.05777557056058</v>
      </c>
      <c r="AL27">
        <f t="shared" si="9"/>
        <v>1.9484038627893661</v>
      </c>
      <c r="AM27">
        <f t="shared" si="2"/>
        <v>51.092620576120702</v>
      </c>
    </row>
    <row r="28" spans="1:39" ht="19" x14ac:dyDescent="0.2">
      <c r="A28">
        <v>0.45716243330027301</v>
      </c>
      <c r="C28" s="26"/>
      <c r="D28" s="3" t="s">
        <v>4</v>
      </c>
      <c r="E28" s="10">
        <f>(E27 - Лист1!$J27)/ Лист1!$J27 * 100</f>
        <v>174.14033182126707</v>
      </c>
      <c r="F28" s="10">
        <f>(F27 - Лист1!$J27)/ Лист1!$J27 * 100</f>
        <v>44.988800613452739</v>
      </c>
      <c r="G28" s="10">
        <f>(G27 - Лист1!$J27)/ Лист1!$J27 * 100</f>
        <v>57.003384875580323</v>
      </c>
      <c r="H28" s="10">
        <f>(H27 - Лист1!$J27)/ Лист1!$J27 * 100</f>
        <v>66.191042943212565</v>
      </c>
      <c r="I28" s="10">
        <f>(I27 - Лист1!$J27)/ Лист1!$J27 * 100</f>
        <v>10.099231860502833</v>
      </c>
      <c r="J28" s="10">
        <f>(J27 - Лист1!$J27)/ Лист1!$J27 * 100</f>
        <v>-2.7646104929310122</v>
      </c>
      <c r="AD28">
        <v>4.0006411834307283</v>
      </c>
      <c r="AE28">
        <f t="shared" si="1"/>
        <v>2.8929408114782809</v>
      </c>
      <c r="AF28">
        <f t="shared" si="3"/>
        <v>0.45716243330027301</v>
      </c>
      <c r="AG28">
        <f t="shared" si="4"/>
        <v>1.20642849534251</v>
      </c>
      <c r="AH28">
        <f t="shared" si="5"/>
        <v>3.186457145869273</v>
      </c>
      <c r="AI28">
        <f t="shared" si="6"/>
        <v>66.18760034366187</v>
      </c>
      <c r="AJ28">
        <f t="shared" si="7"/>
        <v>1.05777557056058</v>
      </c>
      <c r="AK28">
        <f t="shared" si="8"/>
        <v>1.9484038627893661</v>
      </c>
      <c r="AL28">
        <f t="shared" si="9"/>
        <v>51.092620576120702</v>
      </c>
      <c r="AM28">
        <f t="shared" si="2"/>
        <v>92.75499374416421</v>
      </c>
    </row>
    <row r="29" spans="1:39" ht="19" x14ac:dyDescent="0.2">
      <c r="A29">
        <v>1.20642849534251</v>
      </c>
      <c r="C29" s="26" t="s">
        <v>7</v>
      </c>
      <c r="D29" s="3" t="s">
        <v>3</v>
      </c>
      <c r="E29" s="4">
        <f>CONFIDENCE(0.01, E33, E22)</f>
        <v>11.287970620634885</v>
      </c>
      <c r="F29" s="4">
        <f t="shared" ref="F29:I29" si="12">CONFIDENCE(0.01, F33, F22)</f>
        <v>5.9700420976829749</v>
      </c>
      <c r="G29" s="4">
        <f t="shared" si="12"/>
        <v>6.4647532307331064</v>
      </c>
      <c r="H29" s="4">
        <f t="shared" si="12"/>
        <v>6.8430631775069672</v>
      </c>
      <c r="I29" s="4">
        <f t="shared" si="12"/>
        <v>4.5334332469039911</v>
      </c>
      <c r="J29" s="16">
        <f>CONFIDENCE(0.01, J33, J22)</f>
        <v>4.0037531608351111</v>
      </c>
      <c r="AD29">
        <v>2.8929408114782809</v>
      </c>
      <c r="AE29">
        <f t="shared" si="1"/>
        <v>0.45716243330027301</v>
      </c>
      <c r="AF29">
        <f t="shared" si="3"/>
        <v>1.20642849534251</v>
      </c>
      <c r="AG29">
        <f t="shared" si="4"/>
        <v>3.186457145869273</v>
      </c>
      <c r="AH29">
        <f t="shared" si="5"/>
        <v>66.18760034366187</v>
      </c>
      <c r="AI29">
        <f t="shared" si="6"/>
        <v>1.05777557056058</v>
      </c>
      <c r="AJ29">
        <f t="shared" si="7"/>
        <v>1.9484038627893661</v>
      </c>
      <c r="AK29">
        <f t="shared" si="8"/>
        <v>51.092620576120702</v>
      </c>
      <c r="AL29">
        <f t="shared" si="9"/>
        <v>92.75499374416421</v>
      </c>
      <c r="AM29">
        <f t="shared" si="2"/>
        <v>6.6289891448502409</v>
      </c>
    </row>
    <row r="30" spans="1:39" ht="19" x14ac:dyDescent="0.2">
      <c r="A30">
        <v>3.186457145869273</v>
      </c>
      <c r="C30" s="26"/>
      <c r="D30" s="3" t="s">
        <v>4</v>
      </c>
      <c r="E30" s="10">
        <f>(E29 - Лист1!$J29)/ Лист1!$J29 * 100</f>
        <v>174.14033182126701</v>
      </c>
      <c r="F30" s="10">
        <f>(F29 - Лист1!$J29)/ Лист1!$J29 * 100</f>
        <v>44.988800613452746</v>
      </c>
      <c r="G30" s="10">
        <f>(G29 - Лист1!$J29)/ Лист1!$J29 * 100</f>
        <v>57.003384875580288</v>
      </c>
      <c r="H30" s="10">
        <f>(H29 - Лист1!$J29)/ Лист1!$J29 * 100</f>
        <v>66.191042943212551</v>
      </c>
      <c r="I30" s="10">
        <f>(I29 - Лист1!$J29)/ Лист1!$J29 * 100</f>
        <v>10.099231860502815</v>
      </c>
      <c r="J30" s="10">
        <f>(J29 - Лист1!$J29)/ Лист1!$J29 * 100</f>
        <v>-2.7646104929310362</v>
      </c>
      <c r="AD30">
        <v>0.45716243330027301</v>
      </c>
      <c r="AE30">
        <f t="shared" si="1"/>
        <v>1.20642849534251</v>
      </c>
      <c r="AF30">
        <f t="shared" si="3"/>
        <v>3.186457145869273</v>
      </c>
      <c r="AG30">
        <f t="shared" si="4"/>
        <v>66.18760034366187</v>
      </c>
      <c r="AH30">
        <f t="shared" si="5"/>
        <v>1.05777557056058</v>
      </c>
      <c r="AI30">
        <f t="shared" si="6"/>
        <v>1.9484038627893661</v>
      </c>
      <c r="AJ30">
        <f t="shared" si="7"/>
        <v>51.092620576120702</v>
      </c>
      <c r="AK30">
        <f t="shared" si="8"/>
        <v>92.75499374416421</v>
      </c>
      <c r="AL30">
        <f t="shared" si="9"/>
        <v>6.6289891448502409</v>
      </c>
      <c r="AM30">
        <f t="shared" si="2"/>
        <v>0.896266360134791</v>
      </c>
    </row>
    <row r="31" spans="1:39" ht="19" x14ac:dyDescent="0.2">
      <c r="A31">
        <v>66.18760034366187</v>
      </c>
      <c r="C31" s="26" t="s">
        <v>8</v>
      </c>
      <c r="D31" s="3" t="s">
        <v>3</v>
      </c>
      <c r="E31" s="4">
        <f>_xlfn.VAR.S(A1:A10)</f>
        <v>192.04260200935872</v>
      </c>
      <c r="F31" s="4">
        <f>_xlfn.VAR.S(A1:A20)</f>
        <v>107.4361961951937</v>
      </c>
      <c r="G31" s="4">
        <f>_xlfn.VAR.S(A1:A50)</f>
        <v>314.94864839221123</v>
      </c>
      <c r="H31" s="4">
        <f>_xlfn.VAR.S(A1:A100)</f>
        <v>705.77608766569597</v>
      </c>
      <c r="I31" s="4">
        <f>_xlfn.VAR.S(A1:A200)</f>
        <v>619.51280449408057</v>
      </c>
      <c r="J31" s="16">
        <f>_xlfn.VAR.S(A1:A300)</f>
        <v>724.80584115341981</v>
      </c>
      <c r="AD31">
        <v>1.20642849534251</v>
      </c>
      <c r="AE31">
        <f t="shared" si="1"/>
        <v>3.186457145869273</v>
      </c>
      <c r="AF31">
        <f t="shared" si="3"/>
        <v>66.18760034366187</v>
      </c>
      <c r="AG31">
        <f t="shared" si="4"/>
        <v>1.05777557056058</v>
      </c>
      <c r="AH31">
        <f t="shared" si="5"/>
        <v>1.9484038627893661</v>
      </c>
      <c r="AI31">
        <f t="shared" si="6"/>
        <v>51.092620576120702</v>
      </c>
      <c r="AJ31">
        <f t="shared" si="7"/>
        <v>92.75499374416421</v>
      </c>
      <c r="AK31">
        <f t="shared" si="8"/>
        <v>6.6289891448502409</v>
      </c>
      <c r="AL31">
        <f t="shared" si="9"/>
        <v>0.896266360134791</v>
      </c>
      <c r="AM31">
        <f t="shared" si="2"/>
        <v>4.3942718839405366</v>
      </c>
    </row>
    <row r="32" spans="1:39" ht="19" x14ac:dyDescent="0.2">
      <c r="A32">
        <v>1.05777557056058</v>
      </c>
      <c r="C32" s="26"/>
      <c r="D32" s="3" t="s">
        <v>4</v>
      </c>
      <c r="E32" s="10">
        <f>(E31 - Лист1!$J31)/ Лист1!$J31 * 100</f>
        <v>-74.949026156308534</v>
      </c>
      <c r="F32" s="10">
        <f>(F31 - Лист1!$J31)/ Лист1!$J31 * 100</f>
        <v>-85.985498464448298</v>
      </c>
      <c r="G32" s="10">
        <f>(G31 - Лист1!$J31)/ Лист1!$J31 * 100</f>
        <v>-58.916561896017349</v>
      </c>
      <c r="H32" s="10">
        <f>(H31 - Лист1!$J31)/ Лист1!$J31 * 100</f>
        <v>-7.935124151490955</v>
      </c>
      <c r="I32" s="10">
        <f>(I31 - Лист1!$J31)/ Лист1!$J31 * 100</f>
        <v>-19.187727624848275</v>
      </c>
      <c r="J32" s="10">
        <f>(J31 - Лист1!$J31)/ Лист1!$J31 * 100</f>
        <v>-5.4527902740858005</v>
      </c>
      <c r="AD32">
        <v>3.186457145869273</v>
      </c>
      <c r="AE32">
        <f t="shared" si="1"/>
        <v>66.18760034366187</v>
      </c>
      <c r="AF32">
        <f t="shared" si="3"/>
        <v>1.05777557056058</v>
      </c>
      <c r="AG32">
        <f t="shared" si="4"/>
        <v>1.9484038627893661</v>
      </c>
      <c r="AH32">
        <f t="shared" si="5"/>
        <v>51.092620576120702</v>
      </c>
      <c r="AI32">
        <f t="shared" si="6"/>
        <v>92.75499374416421</v>
      </c>
      <c r="AJ32">
        <f t="shared" si="7"/>
        <v>6.6289891448502409</v>
      </c>
      <c r="AK32">
        <f t="shared" si="8"/>
        <v>0.896266360134791</v>
      </c>
      <c r="AL32">
        <f t="shared" si="9"/>
        <v>4.3942718839405366</v>
      </c>
      <c r="AM32">
        <f t="shared" si="2"/>
        <v>2.5736218492217811</v>
      </c>
    </row>
    <row r="33" spans="1:39" ht="19" x14ac:dyDescent="0.2">
      <c r="A33">
        <v>1.9484038627893661</v>
      </c>
      <c r="C33" s="26" t="s">
        <v>9</v>
      </c>
      <c r="D33" s="3" t="s">
        <v>3</v>
      </c>
      <c r="E33" s="4">
        <f>STDEV(A1:A10)</f>
        <v>13.857943642884349</v>
      </c>
      <c r="F33" s="4">
        <f>STDEV(A1:A20)</f>
        <v>10.365143327286589</v>
      </c>
      <c r="G33" s="4">
        <f>STDEV(A1:A50)</f>
        <v>17.74679262267442</v>
      </c>
      <c r="H33" s="4">
        <f>STDEV(A1:A100)</f>
        <v>26.566446651099128</v>
      </c>
      <c r="I33" s="4">
        <f>STDEV(A1:A200)</f>
        <v>24.890014152147053</v>
      </c>
      <c r="J33" s="16">
        <f>STDEV(A1:A300)</f>
        <v>26.922218354983674</v>
      </c>
      <c r="AD33">
        <v>66.18760034366187</v>
      </c>
      <c r="AE33">
        <f t="shared" si="1"/>
        <v>1.05777557056058</v>
      </c>
      <c r="AF33">
        <f t="shared" si="3"/>
        <v>1.9484038627893661</v>
      </c>
      <c r="AG33">
        <f t="shared" si="4"/>
        <v>51.092620576120702</v>
      </c>
      <c r="AH33">
        <f t="shared" si="5"/>
        <v>92.75499374416421</v>
      </c>
      <c r="AI33">
        <f t="shared" si="6"/>
        <v>6.6289891448502409</v>
      </c>
      <c r="AJ33">
        <f t="shared" si="7"/>
        <v>0.896266360134791</v>
      </c>
      <c r="AK33">
        <f t="shared" si="8"/>
        <v>4.3942718839405366</v>
      </c>
      <c r="AL33">
        <f t="shared" si="9"/>
        <v>2.5736218492217811</v>
      </c>
      <c r="AM33">
        <f t="shared" si="2"/>
        <v>9.844974621221688</v>
      </c>
    </row>
    <row r="34" spans="1:39" ht="19" x14ac:dyDescent="0.2">
      <c r="A34">
        <v>51.092620576120702</v>
      </c>
      <c r="C34" s="26"/>
      <c r="D34" s="3" t="s">
        <v>4</v>
      </c>
      <c r="E34" s="10">
        <f>(E33 - Лист1!$J33)/ Лист1!$J33 * 100</f>
        <v>-49.949052113180251</v>
      </c>
      <c r="F34" s="10">
        <f>(F33 - Лист1!$J33)/ Лист1!$J33 * 100</f>
        <v>-62.56405265583399</v>
      </c>
      <c r="G34" s="10">
        <f>(G33 - Лист1!$J33)/ Лист1!$J33 * 100</f>
        <v>-35.903636527504432</v>
      </c>
      <c r="H34" s="10">
        <f>(H33 - Лист1!$J33)/ Лист1!$J33 * 100</f>
        <v>-4.049556619831586</v>
      </c>
      <c r="I34" s="10">
        <f>(I33 - Лист1!$J33)/ Лист1!$J33 * 100</f>
        <v>-10.104353623130493</v>
      </c>
      <c r="J34" s="10">
        <f>(J33 - Лист1!$J33)/ Лист1!$J33 * 100</f>
        <v>-2.764610492931026</v>
      </c>
      <c r="AD34">
        <v>1.05777557056058</v>
      </c>
      <c r="AE34">
        <f t="shared" si="1"/>
        <v>1.9484038627893661</v>
      </c>
      <c r="AF34">
        <f t="shared" si="3"/>
        <v>51.092620576120702</v>
      </c>
      <c r="AG34">
        <f t="shared" si="4"/>
        <v>92.75499374416421</v>
      </c>
      <c r="AH34">
        <f t="shared" si="5"/>
        <v>6.6289891448502409</v>
      </c>
      <c r="AI34">
        <f t="shared" si="6"/>
        <v>0.896266360134791</v>
      </c>
      <c r="AJ34">
        <f t="shared" si="7"/>
        <v>4.3942718839405366</v>
      </c>
      <c r="AK34">
        <f t="shared" si="8"/>
        <v>2.5736218492217811</v>
      </c>
      <c r="AL34">
        <f t="shared" si="9"/>
        <v>9.844974621221688</v>
      </c>
      <c r="AM34">
        <f t="shared" si="2"/>
        <v>5.043702670763281</v>
      </c>
    </row>
    <row r="35" spans="1:39" ht="19" x14ac:dyDescent="0.2">
      <c r="A35">
        <v>92.75499374416421</v>
      </c>
      <c r="C35" s="26" t="s">
        <v>10</v>
      </c>
      <c r="D35" s="3" t="s">
        <v>3</v>
      </c>
      <c r="E35" s="4">
        <f t="shared" ref="E35:H35" si="13">E33/E23</f>
        <v>1.4809662305056428</v>
      </c>
      <c r="F35" s="4">
        <f t="shared" si="13"/>
        <v>1.888021119027834</v>
      </c>
      <c r="G35" s="4">
        <f t="shared" si="13"/>
        <v>2.1413217990259144</v>
      </c>
      <c r="H35" s="4">
        <f t="shared" si="13"/>
        <v>2.9589251718720759</v>
      </c>
      <c r="I35" s="4">
        <f>I33/I23</f>
        <v>2.651829061181092</v>
      </c>
      <c r="J35" s="23">
        <f>J33/J23</f>
        <v>2.4880541122184474</v>
      </c>
      <c r="AD35">
        <v>1.9484038627893661</v>
      </c>
      <c r="AE35">
        <f t="shared" si="1"/>
        <v>51.092620576120702</v>
      </c>
      <c r="AF35">
        <f t="shared" si="3"/>
        <v>92.75499374416421</v>
      </c>
      <c r="AG35">
        <f t="shared" si="4"/>
        <v>6.6289891448502409</v>
      </c>
      <c r="AH35">
        <f t="shared" si="5"/>
        <v>0.896266360134791</v>
      </c>
      <c r="AI35">
        <f t="shared" si="6"/>
        <v>4.3942718839405366</v>
      </c>
      <c r="AJ35">
        <f t="shared" si="7"/>
        <v>2.5736218492217811</v>
      </c>
      <c r="AK35">
        <f t="shared" si="8"/>
        <v>9.844974621221688</v>
      </c>
      <c r="AL35">
        <f t="shared" si="9"/>
        <v>5.043702670763281</v>
      </c>
      <c r="AM35">
        <f t="shared" si="2"/>
        <v>2.2583603814875421</v>
      </c>
    </row>
    <row r="36" spans="1:39" ht="19" x14ac:dyDescent="0.2">
      <c r="A36">
        <v>6.6289891448502409</v>
      </c>
      <c r="C36" s="26"/>
      <c r="D36" s="3" t="s">
        <v>4</v>
      </c>
      <c r="E36" s="10">
        <f>(E35 - Лист1!$J35)/ Лист1!$J35 * 100</f>
        <v>-18.517854691228706</v>
      </c>
      <c r="F36" s="10">
        <f>(F35 - Лист1!$J35)/ Лист1!$J35 * 100</f>
        <v>3.8781357722989545</v>
      </c>
      <c r="G36" s="10">
        <f>(G35 - Лист1!$J35)/ Лист1!$J35 * 100</f>
        <v>17.814633708087317</v>
      </c>
      <c r="H36" s="10">
        <f>(H35 - Лист1!$J35)/ Лист1!$J35 * 100</f>
        <v>62.798830821377685</v>
      </c>
      <c r="I36" s="10">
        <f>(I35 - Лист1!$J35)/ Лист1!$J35 * 100</f>
        <v>45.902530689984559</v>
      </c>
      <c r="J36" s="10">
        <f>(J35 - Лист1!$J35)/ Лист1!$J35 * 100</f>
        <v>36.891701196084121</v>
      </c>
      <c r="AD36">
        <v>51.092620576120702</v>
      </c>
      <c r="AE36">
        <f t="shared" si="1"/>
        <v>92.75499374416421</v>
      </c>
      <c r="AF36">
        <f t="shared" si="3"/>
        <v>6.6289891448502409</v>
      </c>
      <c r="AG36">
        <f t="shared" si="4"/>
        <v>0.896266360134791</v>
      </c>
      <c r="AH36">
        <f t="shared" si="5"/>
        <v>4.3942718839405366</v>
      </c>
      <c r="AI36">
        <f t="shared" si="6"/>
        <v>2.5736218492217811</v>
      </c>
      <c r="AJ36">
        <f t="shared" si="7"/>
        <v>9.844974621221688</v>
      </c>
      <c r="AK36">
        <f t="shared" si="8"/>
        <v>5.043702670763281</v>
      </c>
      <c r="AL36">
        <f t="shared" si="9"/>
        <v>2.2583603814875421</v>
      </c>
      <c r="AM36">
        <f t="shared" si="2"/>
        <v>6.60375187069672</v>
      </c>
    </row>
    <row r="37" spans="1:39" x14ac:dyDescent="0.2">
      <c r="A37">
        <v>0.896266360134791</v>
      </c>
      <c r="AD37">
        <v>92.75499374416421</v>
      </c>
      <c r="AE37">
        <f t="shared" si="1"/>
        <v>6.6289891448502409</v>
      </c>
      <c r="AF37">
        <f t="shared" si="3"/>
        <v>0.896266360134791</v>
      </c>
      <c r="AG37">
        <f t="shared" si="4"/>
        <v>4.3942718839405366</v>
      </c>
      <c r="AH37">
        <f t="shared" si="5"/>
        <v>2.5736218492217811</v>
      </c>
      <c r="AI37">
        <f t="shared" si="6"/>
        <v>9.844974621221688</v>
      </c>
      <c r="AJ37">
        <f t="shared" si="7"/>
        <v>5.043702670763281</v>
      </c>
      <c r="AK37">
        <f t="shared" si="8"/>
        <v>2.2583603814875421</v>
      </c>
      <c r="AL37">
        <f t="shared" si="9"/>
        <v>6.60375187069672</v>
      </c>
      <c r="AM37">
        <f t="shared" si="2"/>
        <v>1.561325401899351</v>
      </c>
    </row>
    <row r="38" spans="1:39" x14ac:dyDescent="0.2">
      <c r="A38">
        <v>4.3942718839405366</v>
      </c>
      <c r="AD38">
        <v>6.6289891448502409</v>
      </c>
      <c r="AE38">
        <f t="shared" si="1"/>
        <v>0.896266360134791</v>
      </c>
      <c r="AF38">
        <f t="shared" si="3"/>
        <v>4.3942718839405366</v>
      </c>
      <c r="AG38">
        <f t="shared" si="4"/>
        <v>2.5736218492217811</v>
      </c>
      <c r="AH38">
        <f t="shared" si="5"/>
        <v>9.844974621221688</v>
      </c>
      <c r="AI38">
        <f t="shared" si="6"/>
        <v>5.043702670763281</v>
      </c>
      <c r="AJ38">
        <f t="shared" si="7"/>
        <v>2.2583603814875421</v>
      </c>
      <c r="AK38">
        <f t="shared" si="8"/>
        <v>6.60375187069672</v>
      </c>
      <c r="AL38">
        <f t="shared" si="9"/>
        <v>1.561325401899351</v>
      </c>
      <c r="AM38">
        <f t="shared" si="2"/>
        <v>2.6819168942003682</v>
      </c>
    </row>
    <row r="39" spans="1:39" x14ac:dyDescent="0.2">
      <c r="A39">
        <v>2.5736218492217811</v>
      </c>
      <c r="AD39">
        <v>0.896266360134791</v>
      </c>
      <c r="AE39">
        <f t="shared" si="1"/>
        <v>4.3942718839405366</v>
      </c>
      <c r="AF39">
        <f t="shared" si="3"/>
        <v>2.5736218492217811</v>
      </c>
      <c r="AG39">
        <f t="shared" si="4"/>
        <v>9.844974621221688</v>
      </c>
      <c r="AH39">
        <f t="shared" si="5"/>
        <v>5.043702670763281</v>
      </c>
      <c r="AI39">
        <f t="shared" si="6"/>
        <v>2.2583603814875421</v>
      </c>
      <c r="AJ39">
        <f t="shared" si="7"/>
        <v>6.60375187069672</v>
      </c>
      <c r="AK39">
        <f t="shared" si="8"/>
        <v>1.561325401899351</v>
      </c>
      <c r="AL39">
        <f t="shared" si="9"/>
        <v>2.6819168942003682</v>
      </c>
      <c r="AM39">
        <f t="shared" si="2"/>
        <v>7.3567785835026003</v>
      </c>
    </row>
    <row r="40" spans="1:39" x14ac:dyDescent="0.2">
      <c r="A40">
        <v>9.844974621221688</v>
      </c>
      <c r="AD40">
        <v>4.3942718839405366</v>
      </c>
      <c r="AE40">
        <f t="shared" si="1"/>
        <v>2.5736218492217811</v>
      </c>
      <c r="AF40">
        <f t="shared" si="3"/>
        <v>9.844974621221688</v>
      </c>
      <c r="AG40">
        <f t="shared" si="4"/>
        <v>5.043702670763281</v>
      </c>
      <c r="AH40">
        <f t="shared" si="5"/>
        <v>2.2583603814875421</v>
      </c>
      <c r="AI40">
        <f t="shared" si="6"/>
        <v>6.60375187069672</v>
      </c>
      <c r="AJ40">
        <f t="shared" si="7"/>
        <v>1.561325401899351</v>
      </c>
      <c r="AK40">
        <f t="shared" si="8"/>
        <v>2.6819168942003682</v>
      </c>
      <c r="AL40">
        <f t="shared" si="9"/>
        <v>7.3567785835026003</v>
      </c>
      <c r="AM40">
        <f t="shared" si="2"/>
        <v>2.4154845888643419</v>
      </c>
    </row>
    <row r="41" spans="1:39" x14ac:dyDescent="0.2">
      <c r="A41">
        <v>5.043702670763281</v>
      </c>
      <c r="AD41">
        <v>2.5736218492217811</v>
      </c>
      <c r="AE41">
        <f t="shared" si="1"/>
        <v>9.844974621221688</v>
      </c>
      <c r="AF41">
        <f t="shared" si="3"/>
        <v>5.043702670763281</v>
      </c>
      <c r="AG41">
        <f t="shared" si="4"/>
        <v>2.2583603814875421</v>
      </c>
      <c r="AH41">
        <f t="shared" si="5"/>
        <v>6.60375187069672</v>
      </c>
      <c r="AI41">
        <f t="shared" si="6"/>
        <v>1.561325401899351</v>
      </c>
      <c r="AJ41">
        <f t="shared" si="7"/>
        <v>2.6819168942003682</v>
      </c>
      <c r="AK41">
        <f t="shared" si="8"/>
        <v>7.3567785835026003</v>
      </c>
      <c r="AL41">
        <f t="shared" si="9"/>
        <v>2.4154845888643419</v>
      </c>
      <c r="AM41">
        <f t="shared" si="2"/>
        <v>0.65379475083503702</v>
      </c>
    </row>
    <row r="42" spans="1:39" x14ac:dyDescent="0.2">
      <c r="A42">
        <v>2.2583603814875421</v>
      </c>
      <c r="AD42">
        <v>9.844974621221688</v>
      </c>
      <c r="AE42">
        <f t="shared" si="1"/>
        <v>5.043702670763281</v>
      </c>
      <c r="AF42">
        <f t="shared" si="3"/>
        <v>2.2583603814875421</v>
      </c>
      <c r="AG42">
        <f t="shared" si="4"/>
        <v>6.60375187069672</v>
      </c>
      <c r="AH42">
        <f t="shared" si="5"/>
        <v>1.561325401899351</v>
      </c>
      <c r="AI42">
        <f t="shared" si="6"/>
        <v>2.6819168942003682</v>
      </c>
      <c r="AJ42">
        <f t="shared" si="7"/>
        <v>7.3567785835026003</v>
      </c>
      <c r="AK42">
        <f t="shared" si="8"/>
        <v>2.4154845888643419</v>
      </c>
      <c r="AL42">
        <f t="shared" si="9"/>
        <v>0.65379475083503702</v>
      </c>
      <c r="AM42">
        <f t="shared" si="2"/>
        <v>4.1011999763952998E-2</v>
      </c>
    </row>
    <row r="43" spans="1:39" x14ac:dyDescent="0.2">
      <c r="A43">
        <v>6.60375187069672</v>
      </c>
      <c r="AD43">
        <v>5.043702670763281</v>
      </c>
      <c r="AE43">
        <f t="shared" si="1"/>
        <v>2.2583603814875421</v>
      </c>
      <c r="AF43">
        <f t="shared" si="3"/>
        <v>6.60375187069672</v>
      </c>
      <c r="AG43">
        <f t="shared" si="4"/>
        <v>1.561325401899351</v>
      </c>
      <c r="AH43">
        <f t="shared" si="5"/>
        <v>2.6819168942003682</v>
      </c>
      <c r="AI43">
        <f t="shared" si="6"/>
        <v>7.3567785835026003</v>
      </c>
      <c r="AJ43">
        <f t="shared" si="7"/>
        <v>2.4154845888643419</v>
      </c>
      <c r="AK43">
        <f t="shared" si="8"/>
        <v>0.65379475083503702</v>
      </c>
      <c r="AL43">
        <f t="shared" si="9"/>
        <v>4.1011999763952998E-2</v>
      </c>
      <c r="AM43">
        <f t="shared" si="2"/>
        <v>0.64015374190423402</v>
      </c>
    </row>
    <row r="44" spans="1:39" x14ac:dyDescent="0.2">
      <c r="A44">
        <v>1.561325401899351</v>
      </c>
      <c r="AD44">
        <v>2.2583603814875421</v>
      </c>
      <c r="AE44">
        <f t="shared" si="1"/>
        <v>6.60375187069672</v>
      </c>
      <c r="AF44">
        <f t="shared" si="3"/>
        <v>1.561325401899351</v>
      </c>
      <c r="AG44">
        <f t="shared" si="4"/>
        <v>2.6819168942003682</v>
      </c>
      <c r="AH44">
        <f t="shared" si="5"/>
        <v>7.3567785835026003</v>
      </c>
      <c r="AI44">
        <f t="shared" si="6"/>
        <v>2.4154845888643419</v>
      </c>
      <c r="AJ44">
        <f t="shared" si="7"/>
        <v>0.65379475083503702</v>
      </c>
      <c r="AK44">
        <f t="shared" si="8"/>
        <v>4.1011999763952998E-2</v>
      </c>
      <c r="AL44">
        <f t="shared" si="9"/>
        <v>0.64015374190423402</v>
      </c>
      <c r="AM44">
        <f t="shared" si="2"/>
        <v>14.898813744678661</v>
      </c>
    </row>
    <row r="45" spans="1:39" x14ac:dyDescent="0.2">
      <c r="A45">
        <v>2.6819168942003682</v>
      </c>
      <c r="AD45">
        <v>6.60375187069672</v>
      </c>
      <c r="AE45">
        <f t="shared" si="1"/>
        <v>1.561325401899351</v>
      </c>
      <c r="AF45">
        <f t="shared" si="3"/>
        <v>2.6819168942003682</v>
      </c>
      <c r="AG45">
        <f t="shared" si="4"/>
        <v>7.3567785835026003</v>
      </c>
      <c r="AH45">
        <f t="shared" si="5"/>
        <v>2.4154845888643419</v>
      </c>
      <c r="AI45">
        <f t="shared" si="6"/>
        <v>0.65379475083503702</v>
      </c>
      <c r="AJ45">
        <f t="shared" si="7"/>
        <v>4.1011999763952998E-2</v>
      </c>
      <c r="AK45">
        <f t="shared" si="8"/>
        <v>0.64015374190423402</v>
      </c>
      <c r="AL45">
        <f t="shared" si="9"/>
        <v>14.898813744678661</v>
      </c>
      <c r="AM45">
        <f t="shared" si="2"/>
        <v>0.81153014605836604</v>
      </c>
    </row>
    <row r="46" spans="1:39" x14ac:dyDescent="0.2">
      <c r="A46">
        <v>7.3567785835026003</v>
      </c>
      <c r="AD46">
        <v>1.561325401899351</v>
      </c>
      <c r="AE46">
        <f t="shared" si="1"/>
        <v>2.6819168942003682</v>
      </c>
      <c r="AF46">
        <f t="shared" si="3"/>
        <v>7.3567785835026003</v>
      </c>
      <c r="AG46">
        <f t="shared" si="4"/>
        <v>2.4154845888643419</v>
      </c>
      <c r="AH46">
        <f t="shared" si="5"/>
        <v>0.65379475083503702</v>
      </c>
      <c r="AI46">
        <f t="shared" si="6"/>
        <v>4.1011999763952998E-2</v>
      </c>
      <c r="AJ46">
        <f t="shared" si="7"/>
        <v>0.64015374190423402</v>
      </c>
      <c r="AK46">
        <f t="shared" si="8"/>
        <v>14.898813744678661</v>
      </c>
      <c r="AL46">
        <f t="shared" si="9"/>
        <v>0.81153014605836604</v>
      </c>
      <c r="AM46">
        <f t="shared" si="2"/>
        <v>1.132235159136711</v>
      </c>
    </row>
    <row r="47" spans="1:39" x14ac:dyDescent="0.2">
      <c r="A47">
        <v>2.4154845888643419</v>
      </c>
      <c r="AD47">
        <v>2.6819168942003682</v>
      </c>
      <c r="AE47">
        <f t="shared" si="1"/>
        <v>7.3567785835026003</v>
      </c>
      <c r="AF47">
        <f t="shared" si="3"/>
        <v>2.4154845888643419</v>
      </c>
      <c r="AG47">
        <f t="shared" si="4"/>
        <v>0.65379475083503702</v>
      </c>
      <c r="AH47">
        <f t="shared" si="5"/>
        <v>4.1011999763952998E-2</v>
      </c>
      <c r="AI47">
        <f t="shared" si="6"/>
        <v>0.64015374190423402</v>
      </c>
      <c r="AJ47">
        <f t="shared" si="7"/>
        <v>14.898813744678661</v>
      </c>
      <c r="AK47">
        <f t="shared" si="8"/>
        <v>0.81153014605836604</v>
      </c>
      <c r="AL47">
        <f t="shared" si="9"/>
        <v>1.132235159136711</v>
      </c>
      <c r="AM47">
        <f t="shared" si="2"/>
        <v>5.8432672923031754</v>
      </c>
    </row>
    <row r="48" spans="1:39" x14ac:dyDescent="0.2">
      <c r="A48">
        <v>0.65379475083503702</v>
      </c>
      <c r="AD48">
        <v>7.3567785835026003</v>
      </c>
      <c r="AE48">
        <f t="shared" si="1"/>
        <v>2.4154845888643419</v>
      </c>
      <c r="AF48">
        <f t="shared" si="3"/>
        <v>0.65379475083503702</v>
      </c>
      <c r="AG48">
        <f t="shared" si="4"/>
        <v>4.1011999763952998E-2</v>
      </c>
      <c r="AH48">
        <f t="shared" si="5"/>
        <v>0.64015374190423402</v>
      </c>
      <c r="AI48">
        <f t="shared" si="6"/>
        <v>14.898813744678661</v>
      </c>
      <c r="AJ48">
        <f t="shared" si="7"/>
        <v>0.81153014605836604</v>
      </c>
      <c r="AK48">
        <f t="shared" si="8"/>
        <v>1.132235159136711</v>
      </c>
      <c r="AL48">
        <f t="shared" si="9"/>
        <v>5.8432672923031754</v>
      </c>
      <c r="AM48">
        <f t="shared" si="2"/>
        <v>52.423088588302441</v>
      </c>
    </row>
    <row r="49" spans="1:39" x14ac:dyDescent="0.2">
      <c r="A49">
        <v>4.1011999763952998E-2</v>
      </c>
      <c r="AD49">
        <v>2.4154845888643419</v>
      </c>
      <c r="AE49">
        <f t="shared" si="1"/>
        <v>0.65379475083503702</v>
      </c>
      <c r="AF49">
        <f t="shared" si="3"/>
        <v>4.1011999763952998E-2</v>
      </c>
      <c r="AG49">
        <f t="shared" si="4"/>
        <v>0.64015374190423402</v>
      </c>
      <c r="AH49">
        <f t="shared" si="5"/>
        <v>14.898813744678661</v>
      </c>
      <c r="AI49">
        <f t="shared" si="6"/>
        <v>0.81153014605836604</v>
      </c>
      <c r="AJ49">
        <f t="shared" si="7"/>
        <v>1.132235159136711</v>
      </c>
      <c r="AK49">
        <f t="shared" si="8"/>
        <v>5.8432672923031754</v>
      </c>
      <c r="AL49">
        <f t="shared" si="9"/>
        <v>52.423088588302441</v>
      </c>
      <c r="AM49">
        <f t="shared" si="2"/>
        <v>82.375706275013712</v>
      </c>
    </row>
    <row r="50" spans="1:39" x14ac:dyDescent="0.2">
      <c r="A50">
        <v>0.64015374190423402</v>
      </c>
      <c r="AD50">
        <v>0.65379475083503702</v>
      </c>
      <c r="AE50">
        <f t="shared" si="1"/>
        <v>4.1011999763952998E-2</v>
      </c>
      <c r="AF50">
        <f t="shared" si="3"/>
        <v>0.64015374190423402</v>
      </c>
      <c r="AG50">
        <f t="shared" si="4"/>
        <v>14.898813744678661</v>
      </c>
      <c r="AH50">
        <f t="shared" si="5"/>
        <v>0.81153014605836604</v>
      </c>
      <c r="AI50">
        <f t="shared" si="6"/>
        <v>1.132235159136711</v>
      </c>
      <c r="AJ50">
        <f t="shared" si="7"/>
        <v>5.8432672923031754</v>
      </c>
      <c r="AK50">
        <f t="shared" si="8"/>
        <v>52.423088588302441</v>
      </c>
      <c r="AL50">
        <f t="shared" si="9"/>
        <v>82.375706275013712</v>
      </c>
      <c r="AM50">
        <f t="shared" si="2"/>
        <v>0.111385804868553</v>
      </c>
    </row>
    <row r="51" spans="1:39" x14ac:dyDescent="0.2">
      <c r="A51">
        <v>14.898813744678661</v>
      </c>
      <c r="AD51">
        <v>4.1011999763952998E-2</v>
      </c>
      <c r="AE51">
        <f t="shared" si="1"/>
        <v>0.64015374190423402</v>
      </c>
      <c r="AF51">
        <f t="shared" si="3"/>
        <v>14.898813744678661</v>
      </c>
      <c r="AG51">
        <f t="shared" si="4"/>
        <v>0.81153014605836604</v>
      </c>
      <c r="AH51">
        <f t="shared" si="5"/>
        <v>1.132235159136711</v>
      </c>
      <c r="AI51">
        <f t="shared" si="6"/>
        <v>5.8432672923031754</v>
      </c>
      <c r="AJ51">
        <f t="shared" si="7"/>
        <v>52.423088588302441</v>
      </c>
      <c r="AK51">
        <f t="shared" si="8"/>
        <v>82.375706275013712</v>
      </c>
      <c r="AL51">
        <f t="shared" si="9"/>
        <v>0.111385804868553</v>
      </c>
      <c r="AM51">
        <f t="shared" si="2"/>
        <v>5.4255091539513627</v>
      </c>
    </row>
    <row r="52" spans="1:39" x14ac:dyDescent="0.2">
      <c r="A52">
        <v>0.81153014605836604</v>
      </c>
      <c r="AD52">
        <v>0.64015374190423402</v>
      </c>
      <c r="AE52">
        <f t="shared" si="1"/>
        <v>14.898813744678661</v>
      </c>
      <c r="AF52">
        <f t="shared" si="3"/>
        <v>0.81153014605836604</v>
      </c>
      <c r="AG52">
        <f t="shared" si="4"/>
        <v>1.132235159136711</v>
      </c>
      <c r="AH52">
        <f t="shared" si="5"/>
        <v>5.8432672923031754</v>
      </c>
      <c r="AI52">
        <f t="shared" si="6"/>
        <v>52.423088588302441</v>
      </c>
      <c r="AJ52">
        <f t="shared" si="7"/>
        <v>82.375706275013712</v>
      </c>
      <c r="AK52">
        <f t="shared" si="8"/>
        <v>0.111385804868553</v>
      </c>
      <c r="AL52">
        <f t="shared" si="9"/>
        <v>5.4255091539513627</v>
      </c>
      <c r="AM52">
        <f t="shared" si="2"/>
        <v>1.986472915046096</v>
      </c>
    </row>
    <row r="53" spans="1:39" x14ac:dyDescent="0.2">
      <c r="A53">
        <v>1.132235159136711</v>
      </c>
      <c r="AD53">
        <v>14.898813744678661</v>
      </c>
      <c r="AE53">
        <f t="shared" si="1"/>
        <v>0.81153014605836604</v>
      </c>
      <c r="AF53">
        <f t="shared" si="3"/>
        <v>1.132235159136711</v>
      </c>
      <c r="AG53">
        <f t="shared" si="4"/>
        <v>5.8432672923031754</v>
      </c>
      <c r="AH53">
        <f t="shared" si="5"/>
        <v>52.423088588302441</v>
      </c>
      <c r="AI53">
        <f t="shared" si="6"/>
        <v>82.375706275013712</v>
      </c>
      <c r="AJ53">
        <f t="shared" si="7"/>
        <v>0.111385804868553</v>
      </c>
      <c r="AK53">
        <f t="shared" si="8"/>
        <v>5.4255091539513627</v>
      </c>
      <c r="AL53">
        <f t="shared" si="9"/>
        <v>1.986472915046096</v>
      </c>
      <c r="AM53">
        <f t="shared" si="2"/>
        <v>220.38928998882309</v>
      </c>
    </row>
    <row r="54" spans="1:39" x14ac:dyDescent="0.2">
      <c r="A54">
        <v>5.8432672923031754</v>
      </c>
      <c r="AD54">
        <v>0.81153014605836604</v>
      </c>
      <c r="AE54">
        <f t="shared" si="1"/>
        <v>1.132235159136711</v>
      </c>
      <c r="AF54">
        <f t="shared" si="3"/>
        <v>5.8432672923031754</v>
      </c>
      <c r="AG54">
        <f t="shared" si="4"/>
        <v>52.423088588302441</v>
      </c>
      <c r="AH54">
        <f t="shared" si="5"/>
        <v>82.375706275013712</v>
      </c>
      <c r="AI54">
        <f t="shared" si="6"/>
        <v>0.111385804868553</v>
      </c>
      <c r="AJ54">
        <f t="shared" si="7"/>
        <v>5.4255091539513627</v>
      </c>
      <c r="AK54">
        <f t="shared" si="8"/>
        <v>1.986472915046096</v>
      </c>
      <c r="AL54">
        <f t="shared" si="9"/>
        <v>220.38928998882309</v>
      </c>
      <c r="AM54">
        <f t="shared" si="2"/>
        <v>0.13825199522852699</v>
      </c>
    </row>
    <row r="55" spans="1:39" x14ac:dyDescent="0.2">
      <c r="A55">
        <v>52.423088588302441</v>
      </c>
      <c r="AD55">
        <v>1.132235159136711</v>
      </c>
      <c r="AE55">
        <f t="shared" si="1"/>
        <v>5.8432672923031754</v>
      </c>
      <c r="AF55">
        <f t="shared" si="3"/>
        <v>52.423088588302441</v>
      </c>
      <c r="AG55">
        <f t="shared" si="4"/>
        <v>82.375706275013712</v>
      </c>
      <c r="AH55">
        <f t="shared" si="5"/>
        <v>0.111385804868553</v>
      </c>
      <c r="AI55">
        <f t="shared" si="6"/>
        <v>5.4255091539513627</v>
      </c>
      <c r="AJ55">
        <f t="shared" si="7"/>
        <v>1.986472915046096</v>
      </c>
      <c r="AK55">
        <f t="shared" si="8"/>
        <v>220.38928998882309</v>
      </c>
      <c r="AL55">
        <f t="shared" si="9"/>
        <v>0.13825199522852699</v>
      </c>
      <c r="AM55">
        <f t="shared" si="2"/>
        <v>3.7305146281842259</v>
      </c>
    </row>
    <row r="56" spans="1:39" x14ac:dyDescent="0.2">
      <c r="A56">
        <v>82.375706275013712</v>
      </c>
      <c r="AD56">
        <v>5.8432672923031754</v>
      </c>
      <c r="AE56">
        <f t="shared" si="1"/>
        <v>52.423088588302441</v>
      </c>
      <c r="AF56">
        <f t="shared" si="3"/>
        <v>82.375706275013712</v>
      </c>
      <c r="AG56">
        <f t="shared" si="4"/>
        <v>0.111385804868553</v>
      </c>
      <c r="AH56">
        <f t="shared" si="5"/>
        <v>5.4255091539513627</v>
      </c>
      <c r="AI56">
        <f t="shared" si="6"/>
        <v>1.986472915046096</v>
      </c>
      <c r="AJ56">
        <f t="shared" si="7"/>
        <v>220.38928998882309</v>
      </c>
      <c r="AK56">
        <f t="shared" si="8"/>
        <v>0.13825199522852699</v>
      </c>
      <c r="AL56">
        <f t="shared" si="9"/>
        <v>3.7305146281842259</v>
      </c>
      <c r="AM56">
        <f t="shared" si="2"/>
        <v>0.74356947734617895</v>
      </c>
    </row>
    <row r="57" spans="1:39" x14ac:dyDescent="0.2">
      <c r="A57">
        <v>0.111385804868553</v>
      </c>
      <c r="AD57">
        <v>52.423088588302441</v>
      </c>
      <c r="AE57">
        <f t="shared" si="1"/>
        <v>82.375706275013712</v>
      </c>
      <c r="AF57">
        <f t="shared" si="3"/>
        <v>0.111385804868553</v>
      </c>
      <c r="AG57">
        <f t="shared" si="4"/>
        <v>5.4255091539513627</v>
      </c>
      <c r="AH57">
        <f t="shared" si="5"/>
        <v>1.986472915046096</v>
      </c>
      <c r="AI57">
        <f t="shared" si="6"/>
        <v>220.38928998882309</v>
      </c>
      <c r="AJ57">
        <f t="shared" si="7"/>
        <v>0.13825199522852699</v>
      </c>
      <c r="AK57">
        <f t="shared" si="8"/>
        <v>3.7305146281842259</v>
      </c>
      <c r="AL57">
        <f t="shared" si="9"/>
        <v>0.74356947734617895</v>
      </c>
      <c r="AM57">
        <f t="shared" si="2"/>
        <v>1.4579805329876201</v>
      </c>
    </row>
    <row r="58" spans="1:39" x14ac:dyDescent="0.2">
      <c r="A58">
        <v>5.4255091539513627</v>
      </c>
      <c r="AD58">
        <v>82.375706275013712</v>
      </c>
      <c r="AE58">
        <f t="shared" si="1"/>
        <v>0.111385804868553</v>
      </c>
      <c r="AF58">
        <f t="shared" si="3"/>
        <v>5.4255091539513627</v>
      </c>
      <c r="AG58">
        <f t="shared" si="4"/>
        <v>1.986472915046096</v>
      </c>
      <c r="AH58">
        <f t="shared" si="5"/>
        <v>220.38928998882309</v>
      </c>
      <c r="AI58">
        <f t="shared" si="6"/>
        <v>0.13825199522852699</v>
      </c>
      <c r="AJ58">
        <f t="shared" si="7"/>
        <v>3.7305146281842259</v>
      </c>
      <c r="AK58">
        <f t="shared" si="8"/>
        <v>0.74356947734617895</v>
      </c>
      <c r="AL58">
        <f t="shared" si="9"/>
        <v>1.4579805329876201</v>
      </c>
      <c r="AM58">
        <f t="shared" si="2"/>
        <v>0.44250128509192899</v>
      </c>
    </row>
    <row r="59" spans="1:39" x14ac:dyDescent="0.2">
      <c r="A59">
        <v>1.986472915046096</v>
      </c>
      <c r="AD59">
        <v>0.111385804868553</v>
      </c>
      <c r="AE59">
        <f t="shared" si="1"/>
        <v>5.4255091539513627</v>
      </c>
      <c r="AF59">
        <f t="shared" si="3"/>
        <v>1.986472915046096</v>
      </c>
      <c r="AG59">
        <f t="shared" si="4"/>
        <v>220.38928998882309</v>
      </c>
      <c r="AH59">
        <f t="shared" si="5"/>
        <v>0.13825199522852699</v>
      </c>
      <c r="AI59">
        <f t="shared" si="6"/>
        <v>3.7305146281842259</v>
      </c>
      <c r="AJ59">
        <f t="shared" si="7"/>
        <v>0.74356947734617895</v>
      </c>
      <c r="AK59">
        <f t="shared" si="8"/>
        <v>1.4579805329876201</v>
      </c>
      <c r="AL59">
        <f t="shared" si="9"/>
        <v>0.44250128509192899</v>
      </c>
      <c r="AM59">
        <f t="shared" si="2"/>
        <v>1.0490350674943809</v>
      </c>
    </row>
    <row r="60" spans="1:39" x14ac:dyDescent="0.2">
      <c r="A60">
        <v>220.38928998882309</v>
      </c>
      <c r="AD60">
        <v>5.4255091539513627</v>
      </c>
      <c r="AE60">
        <f t="shared" si="1"/>
        <v>1.986472915046096</v>
      </c>
      <c r="AF60">
        <f t="shared" si="3"/>
        <v>220.38928998882309</v>
      </c>
      <c r="AG60">
        <f t="shared" si="4"/>
        <v>0.13825199522852699</v>
      </c>
      <c r="AH60">
        <f t="shared" si="5"/>
        <v>3.7305146281842259</v>
      </c>
      <c r="AI60">
        <f t="shared" si="6"/>
        <v>0.74356947734617895</v>
      </c>
      <c r="AJ60">
        <f t="shared" si="7"/>
        <v>1.4579805329876201</v>
      </c>
      <c r="AK60">
        <f t="shared" si="8"/>
        <v>0.44250128509192899</v>
      </c>
      <c r="AL60">
        <f t="shared" si="9"/>
        <v>1.0490350674943809</v>
      </c>
      <c r="AM60">
        <f t="shared" si="2"/>
        <v>0.625734111523919</v>
      </c>
    </row>
    <row r="61" spans="1:39" x14ac:dyDescent="0.2">
      <c r="A61">
        <v>0.13825199522852699</v>
      </c>
      <c r="AD61">
        <v>1.986472915046096</v>
      </c>
      <c r="AE61">
        <f t="shared" si="1"/>
        <v>220.38928998882309</v>
      </c>
      <c r="AF61">
        <f t="shared" si="3"/>
        <v>0.13825199522852699</v>
      </c>
      <c r="AG61">
        <f t="shared" si="4"/>
        <v>3.7305146281842259</v>
      </c>
      <c r="AH61">
        <f t="shared" si="5"/>
        <v>0.74356947734617895</v>
      </c>
      <c r="AI61">
        <f t="shared" si="6"/>
        <v>1.4579805329876201</v>
      </c>
      <c r="AJ61">
        <f t="shared" si="7"/>
        <v>0.44250128509192899</v>
      </c>
      <c r="AK61">
        <f t="shared" si="8"/>
        <v>1.0490350674943809</v>
      </c>
      <c r="AL61">
        <f t="shared" si="9"/>
        <v>0.625734111523919</v>
      </c>
      <c r="AM61">
        <f t="shared" si="2"/>
        <v>1.0661953471542999E-2</v>
      </c>
    </row>
    <row r="62" spans="1:39" x14ac:dyDescent="0.2">
      <c r="A62">
        <v>3.7305146281842259</v>
      </c>
      <c r="AD62">
        <v>220.38928998882309</v>
      </c>
      <c r="AE62">
        <f t="shared" si="1"/>
        <v>0.13825199522852699</v>
      </c>
      <c r="AF62">
        <f t="shared" si="3"/>
        <v>3.7305146281842259</v>
      </c>
      <c r="AG62">
        <f t="shared" si="4"/>
        <v>0.74356947734617895</v>
      </c>
      <c r="AH62">
        <f t="shared" si="5"/>
        <v>1.4579805329876201</v>
      </c>
      <c r="AI62">
        <f t="shared" si="6"/>
        <v>0.44250128509192899</v>
      </c>
      <c r="AJ62">
        <f t="shared" si="7"/>
        <v>1.0490350674943809</v>
      </c>
      <c r="AK62">
        <f t="shared" si="8"/>
        <v>0.625734111523919</v>
      </c>
      <c r="AL62">
        <f t="shared" si="9"/>
        <v>1.0661953471542999E-2</v>
      </c>
      <c r="AM62">
        <f t="shared" si="2"/>
        <v>1.6506082375471951</v>
      </c>
    </row>
    <row r="63" spans="1:39" x14ac:dyDescent="0.2">
      <c r="A63">
        <v>0.74356947734617895</v>
      </c>
      <c r="AD63">
        <v>0.13825199522852699</v>
      </c>
      <c r="AE63">
        <f t="shared" si="1"/>
        <v>3.7305146281842259</v>
      </c>
      <c r="AF63">
        <f t="shared" si="3"/>
        <v>0.74356947734617895</v>
      </c>
      <c r="AG63">
        <f t="shared" si="4"/>
        <v>1.4579805329876201</v>
      </c>
      <c r="AH63">
        <f t="shared" si="5"/>
        <v>0.44250128509192899</v>
      </c>
      <c r="AI63">
        <f t="shared" si="6"/>
        <v>1.0490350674943809</v>
      </c>
      <c r="AJ63">
        <f t="shared" si="7"/>
        <v>0.625734111523919</v>
      </c>
      <c r="AK63">
        <f t="shared" si="8"/>
        <v>1.0661953471542999E-2</v>
      </c>
      <c r="AL63">
        <f t="shared" si="9"/>
        <v>1.6506082375471951</v>
      </c>
      <c r="AM63">
        <f t="shared" si="2"/>
        <v>17.245154712894578</v>
      </c>
    </row>
    <row r="64" spans="1:39" x14ac:dyDescent="0.2">
      <c r="A64">
        <v>1.4579805329876201</v>
      </c>
      <c r="AD64">
        <v>3.7305146281842259</v>
      </c>
      <c r="AE64">
        <f t="shared" si="1"/>
        <v>0.74356947734617895</v>
      </c>
      <c r="AF64">
        <f t="shared" si="3"/>
        <v>1.4579805329876201</v>
      </c>
      <c r="AG64">
        <f t="shared" si="4"/>
        <v>0.44250128509192899</v>
      </c>
      <c r="AH64">
        <f t="shared" si="5"/>
        <v>1.0490350674943809</v>
      </c>
      <c r="AI64">
        <f t="shared" si="6"/>
        <v>0.625734111523919</v>
      </c>
      <c r="AJ64">
        <f t="shared" si="7"/>
        <v>1.0661953471542999E-2</v>
      </c>
      <c r="AK64">
        <f t="shared" si="8"/>
        <v>1.6506082375471951</v>
      </c>
      <c r="AL64">
        <f t="shared" si="9"/>
        <v>17.245154712894578</v>
      </c>
      <c r="AM64">
        <f t="shared" si="2"/>
        <v>1.6977021389724769</v>
      </c>
    </row>
    <row r="65" spans="1:39" x14ac:dyDescent="0.2">
      <c r="A65">
        <v>0.44250128509192899</v>
      </c>
      <c r="AD65">
        <v>0.74356947734617895</v>
      </c>
      <c r="AE65">
        <f t="shared" si="1"/>
        <v>1.4579805329876201</v>
      </c>
      <c r="AF65">
        <f t="shared" si="3"/>
        <v>0.44250128509192899</v>
      </c>
      <c r="AG65">
        <f t="shared" si="4"/>
        <v>1.0490350674943809</v>
      </c>
      <c r="AH65">
        <f t="shared" si="5"/>
        <v>0.625734111523919</v>
      </c>
      <c r="AI65">
        <f t="shared" si="6"/>
        <v>1.0661953471542999E-2</v>
      </c>
      <c r="AJ65">
        <f t="shared" si="7"/>
        <v>1.6506082375471951</v>
      </c>
      <c r="AK65">
        <f t="shared" si="8"/>
        <v>17.245154712894578</v>
      </c>
      <c r="AL65">
        <f t="shared" si="9"/>
        <v>1.6977021389724769</v>
      </c>
      <c r="AM65">
        <f t="shared" si="2"/>
        <v>0.45986757484201002</v>
      </c>
    </row>
    <row r="66" spans="1:39" x14ac:dyDescent="0.2">
      <c r="A66">
        <v>1.0490350674943809</v>
      </c>
      <c r="AD66">
        <v>1.4579805329876201</v>
      </c>
      <c r="AE66">
        <f t="shared" si="1"/>
        <v>0.44250128509192899</v>
      </c>
      <c r="AF66">
        <f t="shared" si="3"/>
        <v>1.0490350674943809</v>
      </c>
      <c r="AG66">
        <f t="shared" si="4"/>
        <v>0.625734111523919</v>
      </c>
      <c r="AH66">
        <f t="shared" si="5"/>
        <v>1.0661953471542999E-2</v>
      </c>
      <c r="AI66">
        <f t="shared" si="6"/>
        <v>1.6506082375471951</v>
      </c>
      <c r="AJ66">
        <f t="shared" si="7"/>
        <v>17.245154712894578</v>
      </c>
      <c r="AK66">
        <f t="shared" si="8"/>
        <v>1.6977021389724769</v>
      </c>
      <c r="AL66">
        <f t="shared" si="9"/>
        <v>0.45986757484201002</v>
      </c>
      <c r="AM66">
        <f t="shared" si="2"/>
        <v>5.8057009656327931</v>
      </c>
    </row>
    <row r="67" spans="1:39" x14ac:dyDescent="0.2">
      <c r="A67">
        <v>0.625734111523919</v>
      </c>
      <c r="AD67">
        <v>0.44250128509192899</v>
      </c>
      <c r="AE67">
        <f t="shared" si="1"/>
        <v>1.0490350674943809</v>
      </c>
      <c r="AF67">
        <f t="shared" si="3"/>
        <v>0.625734111523919</v>
      </c>
      <c r="AG67">
        <f t="shared" si="4"/>
        <v>1.0661953471542999E-2</v>
      </c>
      <c r="AH67">
        <f t="shared" si="5"/>
        <v>1.6506082375471951</v>
      </c>
      <c r="AI67">
        <f t="shared" si="6"/>
        <v>17.245154712894578</v>
      </c>
      <c r="AJ67">
        <f t="shared" si="7"/>
        <v>1.6977021389724769</v>
      </c>
      <c r="AK67">
        <f t="shared" si="8"/>
        <v>0.45986757484201002</v>
      </c>
      <c r="AL67">
        <f t="shared" si="9"/>
        <v>5.8057009656327931</v>
      </c>
      <c r="AM67">
        <f t="shared" si="2"/>
        <v>0.183094785636088</v>
      </c>
    </row>
    <row r="68" spans="1:39" x14ac:dyDescent="0.2">
      <c r="A68">
        <v>1.0661953471542999E-2</v>
      </c>
      <c r="AD68">
        <v>1.0490350674943809</v>
      </c>
      <c r="AE68">
        <f t="shared" ref="AE68:AE131" si="14">$A67</f>
        <v>0.625734111523919</v>
      </c>
      <c r="AF68">
        <f t="shared" si="3"/>
        <v>1.0661953471542999E-2</v>
      </c>
      <c r="AG68">
        <f t="shared" si="4"/>
        <v>1.6506082375471951</v>
      </c>
      <c r="AH68">
        <f t="shared" si="5"/>
        <v>17.245154712894578</v>
      </c>
      <c r="AI68">
        <f t="shared" si="6"/>
        <v>1.6977021389724769</v>
      </c>
      <c r="AJ68">
        <f t="shared" si="7"/>
        <v>0.45986757484201002</v>
      </c>
      <c r="AK68">
        <f t="shared" si="8"/>
        <v>5.8057009656327931</v>
      </c>
      <c r="AL68">
        <f t="shared" si="9"/>
        <v>0.183094785636088</v>
      </c>
      <c r="AM68">
        <f t="shared" si="2"/>
        <v>1.9548100260574039</v>
      </c>
    </row>
    <row r="69" spans="1:39" x14ac:dyDescent="0.2">
      <c r="A69">
        <v>1.6506082375471951</v>
      </c>
      <c r="AD69">
        <v>0.625734111523919</v>
      </c>
      <c r="AE69">
        <f t="shared" si="14"/>
        <v>1.0661953471542999E-2</v>
      </c>
      <c r="AF69">
        <f t="shared" ref="AF69:AF132" si="15">$A69</f>
        <v>1.6506082375471951</v>
      </c>
      <c r="AG69">
        <f t="shared" ref="AG69:AG132" si="16">$A70</f>
        <v>17.245154712894578</v>
      </c>
      <c r="AH69">
        <f t="shared" ref="AH69:AH132" si="17">$A71</f>
        <v>1.6977021389724769</v>
      </c>
      <c r="AI69">
        <f t="shared" ref="AI69:AI132" si="18">$A72</f>
        <v>0.45986757484201002</v>
      </c>
      <c r="AJ69">
        <f t="shared" ref="AJ69:AJ132" si="19">$A73</f>
        <v>5.8057009656327931</v>
      </c>
      <c r="AK69">
        <f t="shared" ref="AK69:AK132" si="20">$A74</f>
        <v>0.183094785636088</v>
      </c>
      <c r="AL69">
        <f t="shared" ref="AL69:AL132" si="21">$A75</f>
        <v>1.9548100260574039</v>
      </c>
      <c r="AM69">
        <f t="shared" ref="AM69:AM132" si="22">$A76</f>
        <v>2.0998187368527579</v>
      </c>
    </row>
    <row r="70" spans="1:39" x14ac:dyDescent="0.2">
      <c r="A70">
        <v>17.245154712894578</v>
      </c>
      <c r="AD70">
        <v>1.0661953471542999E-2</v>
      </c>
      <c r="AE70">
        <f t="shared" si="14"/>
        <v>1.6506082375471951</v>
      </c>
      <c r="AF70">
        <f t="shared" si="15"/>
        <v>17.245154712894578</v>
      </c>
      <c r="AG70">
        <f t="shared" si="16"/>
        <v>1.6977021389724769</v>
      </c>
      <c r="AH70">
        <f t="shared" si="17"/>
        <v>0.45986757484201002</v>
      </c>
      <c r="AI70">
        <f t="shared" si="18"/>
        <v>5.8057009656327931</v>
      </c>
      <c r="AJ70">
        <f t="shared" si="19"/>
        <v>0.183094785636088</v>
      </c>
      <c r="AK70">
        <f t="shared" si="20"/>
        <v>1.9548100260574039</v>
      </c>
      <c r="AL70">
        <f t="shared" si="21"/>
        <v>2.0998187368527579</v>
      </c>
      <c r="AM70">
        <f t="shared" si="22"/>
        <v>0.21092522788895701</v>
      </c>
    </row>
    <row r="71" spans="1:39" x14ac:dyDescent="0.2">
      <c r="A71">
        <v>1.6977021389724769</v>
      </c>
      <c r="AD71">
        <v>1.6506082375471951</v>
      </c>
      <c r="AE71">
        <f t="shared" si="14"/>
        <v>17.245154712894578</v>
      </c>
      <c r="AF71">
        <f t="shared" si="15"/>
        <v>1.6977021389724769</v>
      </c>
      <c r="AG71">
        <f t="shared" si="16"/>
        <v>0.45986757484201002</v>
      </c>
      <c r="AH71">
        <f t="shared" si="17"/>
        <v>5.8057009656327931</v>
      </c>
      <c r="AI71">
        <f t="shared" si="18"/>
        <v>0.183094785636088</v>
      </c>
      <c r="AJ71">
        <f t="shared" si="19"/>
        <v>1.9548100260574039</v>
      </c>
      <c r="AK71">
        <f t="shared" si="20"/>
        <v>2.0998187368527579</v>
      </c>
      <c r="AL71">
        <f t="shared" si="21"/>
        <v>0.21092522788895701</v>
      </c>
      <c r="AM71">
        <f t="shared" si="22"/>
        <v>1.833275974230651</v>
      </c>
    </row>
    <row r="72" spans="1:39" x14ac:dyDescent="0.2">
      <c r="A72">
        <v>0.45986757484201002</v>
      </c>
      <c r="AD72">
        <v>17.245154712894578</v>
      </c>
      <c r="AE72">
        <f t="shared" si="14"/>
        <v>1.6977021389724769</v>
      </c>
      <c r="AF72">
        <f t="shared" si="15"/>
        <v>0.45986757484201002</v>
      </c>
      <c r="AG72">
        <f t="shared" si="16"/>
        <v>5.8057009656327931</v>
      </c>
      <c r="AH72">
        <f t="shared" si="17"/>
        <v>0.183094785636088</v>
      </c>
      <c r="AI72">
        <f t="shared" si="18"/>
        <v>1.9548100260574039</v>
      </c>
      <c r="AJ72">
        <f t="shared" si="19"/>
        <v>2.0998187368527579</v>
      </c>
      <c r="AK72">
        <f t="shared" si="20"/>
        <v>0.21092522788895701</v>
      </c>
      <c r="AL72">
        <f t="shared" si="21"/>
        <v>1.833275974230651</v>
      </c>
      <c r="AM72">
        <f t="shared" si="22"/>
        <v>2.8975369441998051</v>
      </c>
    </row>
    <row r="73" spans="1:39" x14ac:dyDescent="0.2">
      <c r="A73">
        <v>5.8057009656327931</v>
      </c>
      <c r="AD73">
        <v>1.6977021389724769</v>
      </c>
      <c r="AE73">
        <f t="shared" si="14"/>
        <v>0.45986757484201002</v>
      </c>
      <c r="AF73">
        <f t="shared" si="15"/>
        <v>5.8057009656327931</v>
      </c>
      <c r="AG73">
        <f t="shared" si="16"/>
        <v>0.183094785636088</v>
      </c>
      <c r="AH73">
        <f t="shared" si="17"/>
        <v>1.9548100260574039</v>
      </c>
      <c r="AI73">
        <f t="shared" si="18"/>
        <v>2.0998187368527579</v>
      </c>
      <c r="AJ73">
        <f t="shared" si="19"/>
        <v>0.21092522788895701</v>
      </c>
      <c r="AK73">
        <f t="shared" si="20"/>
        <v>1.833275974230651</v>
      </c>
      <c r="AL73">
        <f t="shared" si="21"/>
        <v>2.8975369441998051</v>
      </c>
      <c r="AM73">
        <f t="shared" si="22"/>
        <v>12.65000469594708</v>
      </c>
    </row>
    <row r="74" spans="1:39" x14ac:dyDescent="0.2">
      <c r="A74">
        <v>0.183094785636088</v>
      </c>
      <c r="AD74">
        <v>0.45986757484201002</v>
      </c>
      <c r="AE74">
        <f t="shared" si="14"/>
        <v>5.8057009656327931</v>
      </c>
      <c r="AF74">
        <f t="shared" si="15"/>
        <v>0.183094785636088</v>
      </c>
      <c r="AG74">
        <f t="shared" si="16"/>
        <v>1.9548100260574039</v>
      </c>
      <c r="AH74">
        <f t="shared" si="17"/>
        <v>2.0998187368527579</v>
      </c>
      <c r="AI74">
        <f t="shared" si="18"/>
        <v>0.21092522788895701</v>
      </c>
      <c r="AJ74">
        <f t="shared" si="19"/>
        <v>1.833275974230651</v>
      </c>
      <c r="AK74">
        <f t="shared" si="20"/>
        <v>2.8975369441998051</v>
      </c>
      <c r="AL74">
        <f t="shared" si="21"/>
        <v>12.65000469594708</v>
      </c>
      <c r="AM74">
        <f t="shared" si="22"/>
        <v>0.72480329242156605</v>
      </c>
    </row>
    <row r="75" spans="1:39" x14ac:dyDescent="0.2">
      <c r="A75">
        <v>1.9548100260574039</v>
      </c>
      <c r="AD75">
        <v>5.8057009656327931</v>
      </c>
      <c r="AE75">
        <f t="shared" si="14"/>
        <v>0.183094785636088</v>
      </c>
      <c r="AF75">
        <f t="shared" si="15"/>
        <v>1.9548100260574039</v>
      </c>
      <c r="AG75">
        <f t="shared" si="16"/>
        <v>2.0998187368527579</v>
      </c>
      <c r="AH75">
        <f t="shared" si="17"/>
        <v>0.21092522788895701</v>
      </c>
      <c r="AI75">
        <f t="shared" si="18"/>
        <v>1.833275974230651</v>
      </c>
      <c r="AJ75">
        <f t="shared" si="19"/>
        <v>2.8975369441998051</v>
      </c>
      <c r="AK75">
        <f t="shared" si="20"/>
        <v>12.65000469594708</v>
      </c>
      <c r="AL75">
        <f t="shared" si="21"/>
        <v>0.72480329242156605</v>
      </c>
      <c r="AM75">
        <f t="shared" si="22"/>
        <v>4.6662223997851608</v>
      </c>
    </row>
    <row r="76" spans="1:39" x14ac:dyDescent="0.2">
      <c r="A76">
        <v>2.0998187368527579</v>
      </c>
      <c r="AD76">
        <v>0.183094785636088</v>
      </c>
      <c r="AE76">
        <f t="shared" si="14"/>
        <v>1.9548100260574039</v>
      </c>
      <c r="AF76">
        <f t="shared" si="15"/>
        <v>2.0998187368527579</v>
      </c>
      <c r="AG76">
        <f t="shared" si="16"/>
        <v>0.21092522788895701</v>
      </c>
      <c r="AH76">
        <f t="shared" si="17"/>
        <v>1.833275974230651</v>
      </c>
      <c r="AI76">
        <f t="shared" si="18"/>
        <v>2.8975369441998051</v>
      </c>
      <c r="AJ76">
        <f t="shared" si="19"/>
        <v>12.65000469594708</v>
      </c>
      <c r="AK76">
        <f t="shared" si="20"/>
        <v>0.72480329242156605</v>
      </c>
      <c r="AL76">
        <f t="shared" si="21"/>
        <v>4.6662223997851608</v>
      </c>
      <c r="AM76">
        <f t="shared" si="22"/>
        <v>3.1591753021960112</v>
      </c>
    </row>
    <row r="77" spans="1:39" x14ac:dyDescent="0.2">
      <c r="A77">
        <v>0.21092522788895701</v>
      </c>
      <c r="AD77">
        <v>1.9548100260574039</v>
      </c>
      <c r="AE77">
        <f t="shared" si="14"/>
        <v>2.0998187368527579</v>
      </c>
      <c r="AF77">
        <f t="shared" si="15"/>
        <v>0.21092522788895701</v>
      </c>
      <c r="AG77">
        <f t="shared" si="16"/>
        <v>1.833275974230651</v>
      </c>
      <c r="AH77">
        <f t="shared" si="17"/>
        <v>2.8975369441998051</v>
      </c>
      <c r="AI77">
        <f t="shared" si="18"/>
        <v>12.65000469594708</v>
      </c>
      <c r="AJ77">
        <f t="shared" si="19"/>
        <v>0.72480329242156605</v>
      </c>
      <c r="AK77">
        <f t="shared" si="20"/>
        <v>4.6662223997851608</v>
      </c>
      <c r="AL77">
        <f t="shared" si="21"/>
        <v>3.1591753021960112</v>
      </c>
      <c r="AM77">
        <f t="shared" si="22"/>
        <v>1.470689772283295</v>
      </c>
    </row>
    <row r="78" spans="1:39" x14ac:dyDescent="0.2">
      <c r="A78">
        <v>1.833275974230651</v>
      </c>
      <c r="AD78">
        <v>2.0998187368527579</v>
      </c>
      <c r="AE78">
        <f t="shared" si="14"/>
        <v>0.21092522788895701</v>
      </c>
      <c r="AF78">
        <f t="shared" si="15"/>
        <v>1.833275974230651</v>
      </c>
      <c r="AG78">
        <f t="shared" si="16"/>
        <v>2.8975369441998051</v>
      </c>
      <c r="AH78">
        <f t="shared" si="17"/>
        <v>12.65000469594708</v>
      </c>
      <c r="AI78">
        <f t="shared" si="18"/>
        <v>0.72480329242156605</v>
      </c>
      <c r="AJ78">
        <f t="shared" si="19"/>
        <v>4.6662223997851608</v>
      </c>
      <c r="AK78">
        <f t="shared" si="20"/>
        <v>3.1591753021960112</v>
      </c>
      <c r="AL78">
        <f t="shared" si="21"/>
        <v>1.470689772283295</v>
      </c>
      <c r="AM78">
        <f t="shared" si="22"/>
        <v>4.4899044061679776</v>
      </c>
    </row>
    <row r="79" spans="1:39" x14ac:dyDescent="0.2">
      <c r="A79">
        <v>2.8975369441998051</v>
      </c>
      <c r="AD79">
        <v>0.21092522788895701</v>
      </c>
      <c r="AE79">
        <f t="shared" si="14"/>
        <v>1.833275974230651</v>
      </c>
      <c r="AF79">
        <f t="shared" si="15"/>
        <v>2.8975369441998051</v>
      </c>
      <c r="AG79">
        <f t="shared" si="16"/>
        <v>12.65000469594708</v>
      </c>
      <c r="AH79">
        <f t="shared" si="17"/>
        <v>0.72480329242156605</v>
      </c>
      <c r="AI79">
        <f t="shared" si="18"/>
        <v>4.6662223997851608</v>
      </c>
      <c r="AJ79">
        <f t="shared" si="19"/>
        <v>3.1591753021960112</v>
      </c>
      <c r="AK79">
        <f t="shared" si="20"/>
        <v>1.470689772283295</v>
      </c>
      <c r="AL79">
        <f t="shared" si="21"/>
        <v>4.4899044061679776</v>
      </c>
      <c r="AM79">
        <f t="shared" si="22"/>
        <v>1.0128758377807141</v>
      </c>
    </row>
    <row r="80" spans="1:39" x14ac:dyDescent="0.2">
      <c r="A80">
        <v>12.65000469594708</v>
      </c>
      <c r="AD80">
        <v>1.833275974230651</v>
      </c>
      <c r="AE80">
        <f t="shared" si="14"/>
        <v>2.8975369441998051</v>
      </c>
      <c r="AF80">
        <f t="shared" si="15"/>
        <v>12.65000469594708</v>
      </c>
      <c r="AG80">
        <f t="shared" si="16"/>
        <v>0.72480329242156605</v>
      </c>
      <c r="AH80">
        <f t="shared" si="17"/>
        <v>4.6662223997851608</v>
      </c>
      <c r="AI80">
        <f t="shared" si="18"/>
        <v>3.1591753021960112</v>
      </c>
      <c r="AJ80">
        <f t="shared" si="19"/>
        <v>1.470689772283295</v>
      </c>
      <c r="AK80">
        <f t="shared" si="20"/>
        <v>4.4899044061679776</v>
      </c>
      <c r="AL80">
        <f t="shared" si="21"/>
        <v>1.0128758377807141</v>
      </c>
      <c r="AM80">
        <f t="shared" si="22"/>
        <v>1.0294909086489279</v>
      </c>
    </row>
    <row r="81" spans="1:39" x14ac:dyDescent="0.2">
      <c r="A81">
        <v>0.72480329242156605</v>
      </c>
      <c r="AD81">
        <v>2.8975369441998051</v>
      </c>
      <c r="AE81">
        <f t="shared" si="14"/>
        <v>12.65000469594708</v>
      </c>
      <c r="AF81">
        <f t="shared" si="15"/>
        <v>0.72480329242156605</v>
      </c>
      <c r="AG81">
        <f t="shared" si="16"/>
        <v>4.6662223997851608</v>
      </c>
      <c r="AH81">
        <f t="shared" si="17"/>
        <v>3.1591753021960112</v>
      </c>
      <c r="AI81">
        <f t="shared" si="18"/>
        <v>1.470689772283295</v>
      </c>
      <c r="AJ81">
        <f t="shared" si="19"/>
        <v>4.4899044061679776</v>
      </c>
      <c r="AK81">
        <f t="shared" si="20"/>
        <v>1.0128758377807141</v>
      </c>
      <c r="AL81">
        <f t="shared" si="21"/>
        <v>1.0294909086489279</v>
      </c>
      <c r="AM81">
        <f t="shared" si="22"/>
        <v>3.2810993469313949</v>
      </c>
    </row>
    <row r="82" spans="1:39" x14ac:dyDescent="0.2">
      <c r="A82">
        <v>4.6662223997851608</v>
      </c>
      <c r="AD82">
        <v>12.65000469594708</v>
      </c>
      <c r="AE82">
        <f t="shared" si="14"/>
        <v>0.72480329242156605</v>
      </c>
      <c r="AF82">
        <f t="shared" si="15"/>
        <v>4.6662223997851608</v>
      </c>
      <c r="AG82">
        <f t="shared" si="16"/>
        <v>3.1591753021960112</v>
      </c>
      <c r="AH82">
        <f t="shared" si="17"/>
        <v>1.470689772283295</v>
      </c>
      <c r="AI82">
        <f t="shared" si="18"/>
        <v>4.4899044061679776</v>
      </c>
      <c r="AJ82">
        <f t="shared" si="19"/>
        <v>1.0128758377807141</v>
      </c>
      <c r="AK82">
        <f t="shared" si="20"/>
        <v>1.0294909086489279</v>
      </c>
      <c r="AL82">
        <f t="shared" si="21"/>
        <v>3.2810993469313949</v>
      </c>
      <c r="AM82">
        <f t="shared" si="22"/>
        <v>2.8231309452664139</v>
      </c>
    </row>
    <row r="83" spans="1:39" x14ac:dyDescent="0.2">
      <c r="A83">
        <v>3.1591753021960112</v>
      </c>
      <c r="AD83">
        <v>0.72480329242156605</v>
      </c>
      <c r="AE83">
        <f t="shared" si="14"/>
        <v>4.6662223997851608</v>
      </c>
      <c r="AF83">
        <f t="shared" si="15"/>
        <v>3.1591753021960112</v>
      </c>
      <c r="AG83">
        <f t="shared" si="16"/>
        <v>1.470689772283295</v>
      </c>
      <c r="AH83">
        <f t="shared" si="17"/>
        <v>4.4899044061679776</v>
      </c>
      <c r="AI83">
        <f t="shared" si="18"/>
        <v>1.0128758377807141</v>
      </c>
      <c r="AJ83">
        <f t="shared" si="19"/>
        <v>1.0294909086489279</v>
      </c>
      <c r="AK83">
        <f t="shared" si="20"/>
        <v>3.2810993469313949</v>
      </c>
      <c r="AL83">
        <f t="shared" si="21"/>
        <v>2.8231309452664139</v>
      </c>
      <c r="AM83">
        <f t="shared" si="22"/>
        <v>0.48390646249459102</v>
      </c>
    </row>
    <row r="84" spans="1:39" x14ac:dyDescent="0.2">
      <c r="A84">
        <v>1.470689772283295</v>
      </c>
      <c r="AD84">
        <v>4.6662223997851608</v>
      </c>
      <c r="AE84">
        <f t="shared" si="14"/>
        <v>3.1591753021960112</v>
      </c>
      <c r="AF84">
        <f t="shared" si="15"/>
        <v>1.470689772283295</v>
      </c>
      <c r="AG84">
        <f t="shared" si="16"/>
        <v>4.4899044061679776</v>
      </c>
      <c r="AH84">
        <f t="shared" si="17"/>
        <v>1.0128758377807141</v>
      </c>
      <c r="AI84">
        <f t="shared" si="18"/>
        <v>1.0294909086489279</v>
      </c>
      <c r="AJ84">
        <f t="shared" si="19"/>
        <v>3.2810993469313949</v>
      </c>
      <c r="AK84">
        <f t="shared" si="20"/>
        <v>2.8231309452664139</v>
      </c>
      <c r="AL84">
        <f t="shared" si="21"/>
        <v>0.48390646249459102</v>
      </c>
      <c r="AM84">
        <f t="shared" si="22"/>
        <v>2.8146508145351219</v>
      </c>
    </row>
    <row r="85" spans="1:39" x14ac:dyDescent="0.2">
      <c r="A85">
        <v>4.4899044061679776</v>
      </c>
      <c r="AD85">
        <v>3.1591753021960112</v>
      </c>
      <c r="AE85">
        <f t="shared" si="14"/>
        <v>1.470689772283295</v>
      </c>
      <c r="AF85">
        <f t="shared" si="15"/>
        <v>4.4899044061679776</v>
      </c>
      <c r="AG85">
        <f t="shared" si="16"/>
        <v>1.0128758377807141</v>
      </c>
      <c r="AH85">
        <f t="shared" si="17"/>
        <v>1.0294909086489279</v>
      </c>
      <c r="AI85">
        <f t="shared" si="18"/>
        <v>3.2810993469313949</v>
      </c>
      <c r="AJ85">
        <f t="shared" si="19"/>
        <v>2.8231309452664139</v>
      </c>
      <c r="AK85">
        <f t="shared" si="20"/>
        <v>0.48390646249459102</v>
      </c>
      <c r="AL85">
        <f t="shared" si="21"/>
        <v>2.8146508145351219</v>
      </c>
      <c r="AM85">
        <f t="shared" si="22"/>
        <v>2.829570375916052</v>
      </c>
    </row>
    <row r="86" spans="1:39" x14ac:dyDescent="0.2">
      <c r="A86">
        <v>1.0128758377807141</v>
      </c>
      <c r="AD86">
        <v>1.470689772283295</v>
      </c>
      <c r="AE86">
        <f t="shared" si="14"/>
        <v>4.4899044061679776</v>
      </c>
      <c r="AF86">
        <f t="shared" si="15"/>
        <v>1.0128758377807141</v>
      </c>
      <c r="AG86">
        <f t="shared" si="16"/>
        <v>1.0294909086489279</v>
      </c>
      <c r="AH86">
        <f t="shared" si="17"/>
        <v>3.2810993469313949</v>
      </c>
      <c r="AI86">
        <f t="shared" si="18"/>
        <v>2.8231309452664139</v>
      </c>
      <c r="AJ86">
        <f t="shared" si="19"/>
        <v>0.48390646249459102</v>
      </c>
      <c r="AK86">
        <f t="shared" si="20"/>
        <v>2.8146508145351219</v>
      </c>
      <c r="AL86">
        <f t="shared" si="21"/>
        <v>2.829570375916052</v>
      </c>
      <c r="AM86">
        <f t="shared" si="22"/>
        <v>1.37277522347382</v>
      </c>
    </row>
    <row r="87" spans="1:39" x14ac:dyDescent="0.2">
      <c r="A87">
        <v>1.0294909086489279</v>
      </c>
      <c r="AD87">
        <v>4.4899044061679776</v>
      </c>
      <c r="AE87">
        <f t="shared" si="14"/>
        <v>1.0128758377807141</v>
      </c>
      <c r="AF87">
        <f t="shared" si="15"/>
        <v>1.0294909086489279</v>
      </c>
      <c r="AG87">
        <f t="shared" si="16"/>
        <v>3.2810993469313949</v>
      </c>
      <c r="AH87">
        <f t="shared" si="17"/>
        <v>2.8231309452664139</v>
      </c>
      <c r="AI87">
        <f t="shared" si="18"/>
        <v>0.48390646249459102</v>
      </c>
      <c r="AJ87">
        <f t="shared" si="19"/>
        <v>2.8146508145351219</v>
      </c>
      <c r="AK87">
        <f t="shared" si="20"/>
        <v>2.829570375916052</v>
      </c>
      <c r="AL87">
        <f t="shared" si="21"/>
        <v>1.37277522347382</v>
      </c>
      <c r="AM87">
        <f t="shared" si="22"/>
        <v>0.84735767957964303</v>
      </c>
    </row>
    <row r="88" spans="1:39" x14ac:dyDescent="0.2">
      <c r="A88">
        <v>3.2810993469313949</v>
      </c>
      <c r="AD88">
        <v>1.0128758377807141</v>
      </c>
      <c r="AE88">
        <f t="shared" si="14"/>
        <v>1.0294909086489279</v>
      </c>
      <c r="AF88">
        <f t="shared" si="15"/>
        <v>3.2810993469313949</v>
      </c>
      <c r="AG88">
        <f t="shared" si="16"/>
        <v>2.8231309452664139</v>
      </c>
      <c r="AH88">
        <f t="shared" si="17"/>
        <v>0.48390646249459102</v>
      </c>
      <c r="AI88">
        <f t="shared" si="18"/>
        <v>2.8146508145351219</v>
      </c>
      <c r="AJ88">
        <f t="shared" si="19"/>
        <v>2.829570375916052</v>
      </c>
      <c r="AK88">
        <f t="shared" si="20"/>
        <v>1.37277522347382</v>
      </c>
      <c r="AL88">
        <f t="shared" si="21"/>
        <v>0.84735767957964303</v>
      </c>
      <c r="AM88">
        <f t="shared" si="22"/>
        <v>1.7310110613142491</v>
      </c>
    </row>
    <row r="89" spans="1:39" x14ac:dyDescent="0.2">
      <c r="A89">
        <v>2.8231309452664139</v>
      </c>
      <c r="AD89">
        <v>1.0294909086489279</v>
      </c>
      <c r="AE89">
        <f t="shared" si="14"/>
        <v>3.2810993469313949</v>
      </c>
      <c r="AF89">
        <f t="shared" si="15"/>
        <v>2.8231309452664139</v>
      </c>
      <c r="AG89">
        <f t="shared" si="16"/>
        <v>0.48390646249459102</v>
      </c>
      <c r="AH89">
        <f t="shared" si="17"/>
        <v>2.8146508145351219</v>
      </c>
      <c r="AI89">
        <f t="shared" si="18"/>
        <v>2.829570375916052</v>
      </c>
      <c r="AJ89">
        <f t="shared" si="19"/>
        <v>1.37277522347382</v>
      </c>
      <c r="AK89">
        <f t="shared" si="20"/>
        <v>0.84735767957964303</v>
      </c>
      <c r="AL89">
        <f t="shared" si="21"/>
        <v>1.7310110613142491</v>
      </c>
      <c r="AM89">
        <f t="shared" si="22"/>
        <v>9.6662239796939994E-3</v>
      </c>
    </row>
    <row r="90" spans="1:39" x14ac:dyDescent="0.2">
      <c r="A90">
        <v>0.48390646249459102</v>
      </c>
      <c r="AD90">
        <v>3.2810993469313949</v>
      </c>
      <c r="AE90">
        <f t="shared" si="14"/>
        <v>2.8231309452664139</v>
      </c>
      <c r="AF90">
        <f t="shared" si="15"/>
        <v>0.48390646249459102</v>
      </c>
      <c r="AG90">
        <f t="shared" si="16"/>
        <v>2.8146508145351219</v>
      </c>
      <c r="AH90">
        <f t="shared" si="17"/>
        <v>2.829570375916052</v>
      </c>
      <c r="AI90">
        <f t="shared" si="18"/>
        <v>1.37277522347382</v>
      </c>
      <c r="AJ90">
        <f t="shared" si="19"/>
        <v>0.84735767957964303</v>
      </c>
      <c r="AK90">
        <f t="shared" si="20"/>
        <v>1.7310110613142491</v>
      </c>
      <c r="AL90">
        <f t="shared" si="21"/>
        <v>9.6662239796939994E-3</v>
      </c>
      <c r="AM90">
        <f t="shared" si="22"/>
        <v>5.8675660051874372</v>
      </c>
    </row>
    <row r="91" spans="1:39" x14ac:dyDescent="0.2">
      <c r="A91">
        <v>2.8146508145351219</v>
      </c>
      <c r="AD91">
        <v>2.8231309452664139</v>
      </c>
      <c r="AE91">
        <f t="shared" si="14"/>
        <v>0.48390646249459102</v>
      </c>
      <c r="AF91">
        <f t="shared" si="15"/>
        <v>2.8146508145351219</v>
      </c>
      <c r="AG91">
        <f t="shared" si="16"/>
        <v>2.829570375916052</v>
      </c>
      <c r="AH91">
        <f t="shared" si="17"/>
        <v>1.37277522347382</v>
      </c>
      <c r="AI91">
        <f t="shared" si="18"/>
        <v>0.84735767957964303</v>
      </c>
      <c r="AJ91">
        <f t="shared" si="19"/>
        <v>1.7310110613142491</v>
      </c>
      <c r="AK91">
        <f t="shared" si="20"/>
        <v>9.6662239796939994E-3</v>
      </c>
      <c r="AL91">
        <f t="shared" si="21"/>
        <v>5.8675660051874372</v>
      </c>
      <c r="AM91">
        <f t="shared" si="22"/>
        <v>0.51047072993369302</v>
      </c>
    </row>
    <row r="92" spans="1:39" x14ac:dyDescent="0.2">
      <c r="A92">
        <v>2.829570375916052</v>
      </c>
      <c r="AD92">
        <v>0.48390646249459102</v>
      </c>
      <c r="AE92">
        <f t="shared" si="14"/>
        <v>2.8146508145351219</v>
      </c>
      <c r="AF92">
        <f t="shared" si="15"/>
        <v>2.829570375916052</v>
      </c>
      <c r="AG92">
        <f t="shared" si="16"/>
        <v>1.37277522347382</v>
      </c>
      <c r="AH92">
        <f t="shared" si="17"/>
        <v>0.84735767957964303</v>
      </c>
      <c r="AI92">
        <f t="shared" si="18"/>
        <v>1.7310110613142491</v>
      </c>
      <c r="AJ92">
        <f t="shared" si="19"/>
        <v>9.6662239796939994E-3</v>
      </c>
      <c r="AK92">
        <f t="shared" si="20"/>
        <v>5.8675660051874372</v>
      </c>
      <c r="AL92">
        <f t="shared" si="21"/>
        <v>0.51047072993369302</v>
      </c>
      <c r="AM92">
        <f t="shared" si="22"/>
        <v>0.83152041253688602</v>
      </c>
    </row>
    <row r="93" spans="1:39" x14ac:dyDescent="0.2">
      <c r="A93">
        <v>1.37277522347382</v>
      </c>
      <c r="AD93">
        <v>2.8146508145351219</v>
      </c>
      <c r="AE93">
        <f t="shared" si="14"/>
        <v>2.829570375916052</v>
      </c>
      <c r="AF93">
        <f t="shared" si="15"/>
        <v>1.37277522347382</v>
      </c>
      <c r="AG93">
        <f t="shared" si="16"/>
        <v>0.84735767957964303</v>
      </c>
      <c r="AH93">
        <f t="shared" si="17"/>
        <v>1.7310110613142491</v>
      </c>
      <c r="AI93">
        <f t="shared" si="18"/>
        <v>9.6662239796939994E-3</v>
      </c>
      <c r="AJ93">
        <f t="shared" si="19"/>
        <v>5.8675660051874372</v>
      </c>
      <c r="AK93">
        <f t="shared" si="20"/>
        <v>0.51047072993369302</v>
      </c>
      <c r="AL93">
        <f t="shared" si="21"/>
        <v>0.83152041253688602</v>
      </c>
      <c r="AM93">
        <f t="shared" si="22"/>
        <v>1.212441326103761</v>
      </c>
    </row>
    <row r="94" spans="1:39" x14ac:dyDescent="0.2">
      <c r="A94">
        <v>0.84735767957964303</v>
      </c>
      <c r="AD94">
        <v>2.829570375916052</v>
      </c>
      <c r="AE94">
        <f t="shared" si="14"/>
        <v>1.37277522347382</v>
      </c>
      <c r="AF94">
        <f t="shared" si="15"/>
        <v>0.84735767957964303</v>
      </c>
      <c r="AG94">
        <f t="shared" si="16"/>
        <v>1.7310110613142491</v>
      </c>
      <c r="AH94">
        <f t="shared" si="17"/>
        <v>9.6662239796939994E-3</v>
      </c>
      <c r="AI94">
        <f t="shared" si="18"/>
        <v>5.8675660051874372</v>
      </c>
      <c r="AJ94">
        <f t="shared" si="19"/>
        <v>0.51047072993369302</v>
      </c>
      <c r="AK94">
        <f t="shared" si="20"/>
        <v>0.83152041253688602</v>
      </c>
      <c r="AL94">
        <f t="shared" si="21"/>
        <v>1.212441326103761</v>
      </c>
      <c r="AM94">
        <f t="shared" si="22"/>
        <v>0.224606776388417</v>
      </c>
    </row>
    <row r="95" spans="1:39" x14ac:dyDescent="0.2">
      <c r="A95">
        <v>1.7310110613142491</v>
      </c>
      <c r="AD95">
        <v>1.37277522347382</v>
      </c>
      <c r="AE95">
        <f t="shared" si="14"/>
        <v>0.84735767957964303</v>
      </c>
      <c r="AF95">
        <f t="shared" si="15"/>
        <v>1.7310110613142491</v>
      </c>
      <c r="AG95">
        <f t="shared" si="16"/>
        <v>9.6662239796939994E-3</v>
      </c>
      <c r="AH95">
        <f t="shared" si="17"/>
        <v>5.8675660051874372</v>
      </c>
      <c r="AI95">
        <f t="shared" si="18"/>
        <v>0.51047072993369302</v>
      </c>
      <c r="AJ95">
        <f t="shared" si="19"/>
        <v>0.83152041253688602</v>
      </c>
      <c r="AK95">
        <f t="shared" si="20"/>
        <v>1.212441326103761</v>
      </c>
      <c r="AL95">
        <f t="shared" si="21"/>
        <v>0.224606776388417</v>
      </c>
      <c r="AM95">
        <f t="shared" si="22"/>
        <v>0.305408676712005</v>
      </c>
    </row>
    <row r="96" spans="1:39" x14ac:dyDescent="0.2">
      <c r="A96">
        <v>9.6662239796939994E-3</v>
      </c>
      <c r="AD96">
        <v>0.84735767957964303</v>
      </c>
      <c r="AE96">
        <f t="shared" si="14"/>
        <v>1.7310110613142491</v>
      </c>
      <c r="AF96">
        <f t="shared" si="15"/>
        <v>9.6662239796939994E-3</v>
      </c>
      <c r="AG96">
        <f t="shared" si="16"/>
        <v>5.8675660051874372</v>
      </c>
      <c r="AH96">
        <f t="shared" si="17"/>
        <v>0.51047072993369302</v>
      </c>
      <c r="AI96">
        <f t="shared" si="18"/>
        <v>0.83152041253688602</v>
      </c>
      <c r="AJ96">
        <f t="shared" si="19"/>
        <v>1.212441326103761</v>
      </c>
      <c r="AK96">
        <f t="shared" si="20"/>
        <v>0.224606776388417</v>
      </c>
      <c r="AL96">
        <f t="shared" si="21"/>
        <v>0.305408676712005</v>
      </c>
      <c r="AM96">
        <f t="shared" si="22"/>
        <v>75.327833274753132</v>
      </c>
    </row>
    <row r="97" spans="1:39" x14ac:dyDescent="0.2">
      <c r="A97">
        <v>5.8675660051874372</v>
      </c>
      <c r="AD97">
        <v>1.7310110613142491</v>
      </c>
      <c r="AE97">
        <f t="shared" si="14"/>
        <v>9.6662239796939994E-3</v>
      </c>
      <c r="AF97">
        <f t="shared" si="15"/>
        <v>5.8675660051874372</v>
      </c>
      <c r="AG97">
        <f t="shared" si="16"/>
        <v>0.51047072993369302</v>
      </c>
      <c r="AH97">
        <f t="shared" si="17"/>
        <v>0.83152041253688602</v>
      </c>
      <c r="AI97">
        <f t="shared" si="18"/>
        <v>1.212441326103761</v>
      </c>
      <c r="AJ97">
        <f t="shared" si="19"/>
        <v>0.224606776388417</v>
      </c>
      <c r="AK97">
        <f t="shared" si="20"/>
        <v>0.305408676712005</v>
      </c>
      <c r="AL97">
        <f t="shared" si="21"/>
        <v>75.327833274753132</v>
      </c>
      <c r="AM97">
        <f t="shared" si="22"/>
        <v>0.71215951758858798</v>
      </c>
    </row>
    <row r="98" spans="1:39" x14ac:dyDescent="0.2">
      <c r="A98">
        <v>0.51047072993369302</v>
      </c>
      <c r="AD98">
        <v>9.6662239796939994E-3</v>
      </c>
      <c r="AE98">
        <f t="shared" si="14"/>
        <v>5.8675660051874372</v>
      </c>
      <c r="AF98">
        <f t="shared" si="15"/>
        <v>0.51047072993369302</v>
      </c>
      <c r="AG98">
        <f t="shared" si="16"/>
        <v>0.83152041253688602</v>
      </c>
      <c r="AH98">
        <f t="shared" si="17"/>
        <v>1.212441326103761</v>
      </c>
      <c r="AI98">
        <f t="shared" si="18"/>
        <v>0.224606776388417</v>
      </c>
      <c r="AJ98">
        <f t="shared" si="19"/>
        <v>0.305408676712005</v>
      </c>
      <c r="AK98">
        <f t="shared" si="20"/>
        <v>75.327833274753132</v>
      </c>
      <c r="AL98">
        <f t="shared" si="21"/>
        <v>0.71215951758858798</v>
      </c>
      <c r="AM98">
        <f t="shared" si="22"/>
        <v>1.2700033067865719</v>
      </c>
    </row>
    <row r="99" spans="1:39" x14ac:dyDescent="0.2">
      <c r="A99">
        <v>0.83152041253688602</v>
      </c>
      <c r="AD99">
        <v>5.8675660051874372</v>
      </c>
      <c r="AE99">
        <f t="shared" si="14"/>
        <v>0.51047072993369302</v>
      </c>
      <c r="AF99">
        <f t="shared" si="15"/>
        <v>0.83152041253688602</v>
      </c>
      <c r="AG99">
        <f t="shared" si="16"/>
        <v>1.212441326103761</v>
      </c>
      <c r="AH99">
        <f t="shared" si="17"/>
        <v>0.224606776388417</v>
      </c>
      <c r="AI99">
        <f t="shared" si="18"/>
        <v>0.305408676712005</v>
      </c>
      <c r="AJ99">
        <f t="shared" si="19"/>
        <v>75.327833274753132</v>
      </c>
      <c r="AK99">
        <f t="shared" si="20"/>
        <v>0.71215951758858798</v>
      </c>
      <c r="AL99">
        <f t="shared" si="21"/>
        <v>1.2700033067865719</v>
      </c>
      <c r="AM99">
        <f t="shared" si="22"/>
        <v>0.91445922250402201</v>
      </c>
    </row>
    <row r="100" spans="1:39" x14ac:dyDescent="0.2">
      <c r="A100">
        <v>1.212441326103761</v>
      </c>
      <c r="AD100">
        <v>0.51047072993369302</v>
      </c>
      <c r="AE100">
        <f t="shared" si="14"/>
        <v>0.83152041253688602</v>
      </c>
      <c r="AF100">
        <f t="shared" si="15"/>
        <v>1.212441326103761</v>
      </c>
      <c r="AG100">
        <f t="shared" si="16"/>
        <v>0.224606776388417</v>
      </c>
      <c r="AH100">
        <f t="shared" si="17"/>
        <v>0.305408676712005</v>
      </c>
      <c r="AI100">
        <f t="shared" si="18"/>
        <v>75.327833274753132</v>
      </c>
      <c r="AJ100">
        <f t="shared" si="19"/>
        <v>0.71215951758858798</v>
      </c>
      <c r="AK100">
        <f t="shared" si="20"/>
        <v>1.2700033067865719</v>
      </c>
      <c r="AL100">
        <f t="shared" si="21"/>
        <v>0.91445922250402201</v>
      </c>
      <c r="AM100">
        <f t="shared" si="22"/>
        <v>0.90748707244976501</v>
      </c>
    </row>
    <row r="101" spans="1:39" x14ac:dyDescent="0.2">
      <c r="A101">
        <v>0.224606776388417</v>
      </c>
      <c r="AD101">
        <v>0.83152041253688602</v>
      </c>
      <c r="AE101">
        <f t="shared" si="14"/>
        <v>1.212441326103761</v>
      </c>
      <c r="AF101">
        <f t="shared" si="15"/>
        <v>0.224606776388417</v>
      </c>
      <c r="AG101">
        <f t="shared" si="16"/>
        <v>0.305408676712005</v>
      </c>
      <c r="AH101">
        <f t="shared" si="17"/>
        <v>75.327833274753132</v>
      </c>
      <c r="AI101">
        <f t="shared" si="18"/>
        <v>0.71215951758858798</v>
      </c>
      <c r="AJ101">
        <f t="shared" si="19"/>
        <v>1.2700033067865719</v>
      </c>
      <c r="AK101">
        <f t="shared" si="20"/>
        <v>0.91445922250402201</v>
      </c>
      <c r="AL101">
        <f t="shared" si="21"/>
        <v>0.90748707244976501</v>
      </c>
      <c r="AM101">
        <f t="shared" si="22"/>
        <v>1.1169522632262101</v>
      </c>
    </row>
    <row r="102" spans="1:39" x14ac:dyDescent="0.2">
      <c r="A102">
        <v>0.305408676712005</v>
      </c>
      <c r="AD102">
        <v>1.212441326103761</v>
      </c>
      <c r="AE102">
        <f t="shared" si="14"/>
        <v>0.224606776388417</v>
      </c>
      <c r="AF102">
        <f t="shared" si="15"/>
        <v>0.305408676712005</v>
      </c>
      <c r="AG102">
        <f t="shared" si="16"/>
        <v>75.327833274753132</v>
      </c>
      <c r="AH102">
        <f t="shared" si="17"/>
        <v>0.71215951758858798</v>
      </c>
      <c r="AI102">
        <f t="shared" si="18"/>
        <v>1.2700033067865719</v>
      </c>
      <c r="AJ102">
        <f t="shared" si="19"/>
        <v>0.91445922250402201</v>
      </c>
      <c r="AK102">
        <f t="shared" si="20"/>
        <v>0.90748707244976501</v>
      </c>
      <c r="AL102">
        <f t="shared" si="21"/>
        <v>1.1169522632262101</v>
      </c>
      <c r="AM102">
        <f t="shared" si="22"/>
        <v>11.88752667705382</v>
      </c>
    </row>
    <row r="103" spans="1:39" x14ac:dyDescent="0.2">
      <c r="A103">
        <v>75.327833274753132</v>
      </c>
      <c r="AD103">
        <v>0.224606776388417</v>
      </c>
      <c r="AE103">
        <f t="shared" si="14"/>
        <v>0.305408676712005</v>
      </c>
      <c r="AF103">
        <f t="shared" si="15"/>
        <v>75.327833274753132</v>
      </c>
      <c r="AG103">
        <f t="shared" si="16"/>
        <v>0.71215951758858798</v>
      </c>
      <c r="AH103">
        <f t="shared" si="17"/>
        <v>1.2700033067865719</v>
      </c>
      <c r="AI103">
        <f t="shared" si="18"/>
        <v>0.91445922250402201</v>
      </c>
      <c r="AJ103">
        <f t="shared" si="19"/>
        <v>0.90748707244976501</v>
      </c>
      <c r="AK103">
        <f t="shared" si="20"/>
        <v>1.1169522632262101</v>
      </c>
      <c r="AL103">
        <f t="shared" si="21"/>
        <v>11.88752667705382</v>
      </c>
      <c r="AM103">
        <f t="shared" si="22"/>
        <v>2.2375935961785398</v>
      </c>
    </row>
    <row r="104" spans="1:39" x14ac:dyDescent="0.2">
      <c r="A104">
        <v>0.71215951758858798</v>
      </c>
      <c r="AD104">
        <v>0.305408676712005</v>
      </c>
      <c r="AE104">
        <f t="shared" si="14"/>
        <v>75.327833274753132</v>
      </c>
      <c r="AF104">
        <f t="shared" si="15"/>
        <v>0.71215951758858798</v>
      </c>
      <c r="AG104">
        <f t="shared" si="16"/>
        <v>1.2700033067865719</v>
      </c>
      <c r="AH104">
        <f t="shared" si="17"/>
        <v>0.91445922250402201</v>
      </c>
      <c r="AI104">
        <f t="shared" si="18"/>
        <v>0.90748707244976501</v>
      </c>
      <c r="AJ104">
        <f t="shared" si="19"/>
        <v>1.1169522632262101</v>
      </c>
      <c r="AK104">
        <f t="shared" si="20"/>
        <v>11.88752667705382</v>
      </c>
      <c r="AL104">
        <f t="shared" si="21"/>
        <v>2.2375935961785398</v>
      </c>
      <c r="AM104">
        <f t="shared" si="22"/>
        <v>0.79649944861856803</v>
      </c>
    </row>
    <row r="105" spans="1:39" x14ac:dyDescent="0.2">
      <c r="A105">
        <v>1.2700033067865719</v>
      </c>
      <c r="AD105">
        <v>75.327833274753132</v>
      </c>
      <c r="AE105">
        <f t="shared" si="14"/>
        <v>0.71215951758858798</v>
      </c>
      <c r="AF105">
        <f t="shared" si="15"/>
        <v>1.2700033067865719</v>
      </c>
      <c r="AG105">
        <f t="shared" si="16"/>
        <v>0.91445922250402201</v>
      </c>
      <c r="AH105">
        <f t="shared" si="17"/>
        <v>0.90748707244976501</v>
      </c>
      <c r="AI105">
        <f t="shared" si="18"/>
        <v>1.1169522632262101</v>
      </c>
      <c r="AJ105">
        <f t="shared" si="19"/>
        <v>11.88752667705382</v>
      </c>
      <c r="AK105">
        <f t="shared" si="20"/>
        <v>2.2375935961785398</v>
      </c>
      <c r="AL105">
        <f t="shared" si="21"/>
        <v>0.79649944861856803</v>
      </c>
      <c r="AM105">
        <f t="shared" si="22"/>
        <v>10.2319294070978</v>
      </c>
    </row>
    <row r="106" spans="1:39" x14ac:dyDescent="0.2">
      <c r="A106">
        <v>0.91445922250402201</v>
      </c>
      <c r="AD106">
        <v>0.71215951758858798</v>
      </c>
      <c r="AE106">
        <f t="shared" si="14"/>
        <v>1.2700033067865719</v>
      </c>
      <c r="AF106">
        <f t="shared" si="15"/>
        <v>0.91445922250402201</v>
      </c>
      <c r="AG106">
        <f t="shared" si="16"/>
        <v>0.90748707244976501</v>
      </c>
      <c r="AH106">
        <f t="shared" si="17"/>
        <v>1.1169522632262101</v>
      </c>
      <c r="AI106">
        <f t="shared" si="18"/>
        <v>11.88752667705382</v>
      </c>
      <c r="AJ106">
        <f t="shared" si="19"/>
        <v>2.2375935961785398</v>
      </c>
      <c r="AK106">
        <f t="shared" si="20"/>
        <v>0.79649944861856803</v>
      </c>
      <c r="AL106">
        <f t="shared" si="21"/>
        <v>10.2319294070978</v>
      </c>
      <c r="AM106">
        <f t="shared" si="22"/>
        <v>1.513559992171662</v>
      </c>
    </row>
    <row r="107" spans="1:39" x14ac:dyDescent="0.2">
      <c r="A107">
        <v>0.90748707244976501</v>
      </c>
      <c r="AD107">
        <v>1.2700033067865719</v>
      </c>
      <c r="AE107">
        <f t="shared" si="14"/>
        <v>0.91445922250402201</v>
      </c>
      <c r="AF107">
        <f t="shared" si="15"/>
        <v>0.90748707244976501</v>
      </c>
      <c r="AG107">
        <f t="shared" si="16"/>
        <v>1.1169522632262101</v>
      </c>
      <c r="AH107">
        <f t="shared" si="17"/>
        <v>11.88752667705382</v>
      </c>
      <c r="AI107">
        <f t="shared" si="18"/>
        <v>2.2375935961785398</v>
      </c>
      <c r="AJ107">
        <f t="shared" si="19"/>
        <v>0.79649944861856803</v>
      </c>
      <c r="AK107">
        <f t="shared" si="20"/>
        <v>10.2319294070978</v>
      </c>
      <c r="AL107">
        <f t="shared" si="21"/>
        <v>1.513559992171662</v>
      </c>
      <c r="AM107">
        <f t="shared" si="22"/>
        <v>0.91187979821621201</v>
      </c>
    </row>
    <row r="108" spans="1:39" x14ac:dyDescent="0.2">
      <c r="A108">
        <v>1.1169522632262101</v>
      </c>
      <c r="AD108">
        <v>0.91445922250402201</v>
      </c>
      <c r="AE108">
        <f t="shared" si="14"/>
        <v>0.90748707244976501</v>
      </c>
      <c r="AF108">
        <f t="shared" si="15"/>
        <v>1.1169522632262101</v>
      </c>
      <c r="AG108">
        <f t="shared" si="16"/>
        <v>11.88752667705382</v>
      </c>
      <c r="AH108">
        <f t="shared" si="17"/>
        <v>2.2375935961785398</v>
      </c>
      <c r="AI108">
        <f t="shared" si="18"/>
        <v>0.79649944861856803</v>
      </c>
      <c r="AJ108">
        <f t="shared" si="19"/>
        <v>10.2319294070978</v>
      </c>
      <c r="AK108">
        <f t="shared" si="20"/>
        <v>1.513559992171662</v>
      </c>
      <c r="AL108">
        <f t="shared" si="21"/>
        <v>0.91187979821621201</v>
      </c>
      <c r="AM108">
        <f t="shared" si="22"/>
        <v>1.4735679922699161</v>
      </c>
    </row>
    <row r="109" spans="1:39" x14ac:dyDescent="0.2">
      <c r="A109">
        <v>11.88752667705382</v>
      </c>
      <c r="AD109">
        <v>0.90748707244976501</v>
      </c>
      <c r="AE109">
        <f t="shared" si="14"/>
        <v>1.1169522632262101</v>
      </c>
      <c r="AF109">
        <f t="shared" si="15"/>
        <v>11.88752667705382</v>
      </c>
      <c r="AG109">
        <f t="shared" si="16"/>
        <v>2.2375935961785398</v>
      </c>
      <c r="AH109">
        <f t="shared" si="17"/>
        <v>0.79649944861856803</v>
      </c>
      <c r="AI109">
        <f t="shared" si="18"/>
        <v>10.2319294070978</v>
      </c>
      <c r="AJ109">
        <f t="shared" si="19"/>
        <v>1.513559992171662</v>
      </c>
      <c r="AK109">
        <f t="shared" si="20"/>
        <v>0.91187979821621201</v>
      </c>
      <c r="AL109">
        <f t="shared" si="21"/>
        <v>1.4735679922699161</v>
      </c>
      <c r="AM109">
        <f t="shared" si="22"/>
        <v>1.811457538573537</v>
      </c>
    </row>
    <row r="110" spans="1:39" x14ac:dyDescent="0.2">
      <c r="A110">
        <v>2.2375935961785398</v>
      </c>
      <c r="AD110">
        <v>1.1169522632262101</v>
      </c>
      <c r="AE110">
        <f t="shared" si="14"/>
        <v>11.88752667705382</v>
      </c>
      <c r="AF110">
        <f t="shared" si="15"/>
        <v>2.2375935961785398</v>
      </c>
      <c r="AG110">
        <f t="shared" si="16"/>
        <v>0.79649944861856803</v>
      </c>
      <c r="AH110">
        <f t="shared" si="17"/>
        <v>10.2319294070978</v>
      </c>
      <c r="AI110">
        <f t="shared" si="18"/>
        <v>1.513559992171662</v>
      </c>
      <c r="AJ110">
        <f t="shared" si="19"/>
        <v>0.91187979821621201</v>
      </c>
      <c r="AK110">
        <f t="shared" si="20"/>
        <v>1.4735679922699161</v>
      </c>
      <c r="AL110">
        <f t="shared" si="21"/>
        <v>1.811457538573537</v>
      </c>
      <c r="AM110">
        <f t="shared" si="22"/>
        <v>58.921857173409663</v>
      </c>
    </row>
    <row r="111" spans="1:39" x14ac:dyDescent="0.2">
      <c r="A111">
        <v>0.79649944861856803</v>
      </c>
      <c r="AD111">
        <v>11.88752667705382</v>
      </c>
      <c r="AE111">
        <f t="shared" si="14"/>
        <v>2.2375935961785398</v>
      </c>
      <c r="AF111">
        <f t="shared" si="15"/>
        <v>0.79649944861856803</v>
      </c>
      <c r="AG111">
        <f t="shared" si="16"/>
        <v>10.2319294070978</v>
      </c>
      <c r="AH111">
        <f t="shared" si="17"/>
        <v>1.513559992171662</v>
      </c>
      <c r="AI111">
        <f t="shared" si="18"/>
        <v>0.91187979821621201</v>
      </c>
      <c r="AJ111">
        <f t="shared" si="19"/>
        <v>1.4735679922699161</v>
      </c>
      <c r="AK111">
        <f t="shared" si="20"/>
        <v>1.811457538573537</v>
      </c>
      <c r="AL111">
        <f t="shared" si="21"/>
        <v>58.921857173409663</v>
      </c>
      <c r="AM111">
        <f t="shared" si="22"/>
        <v>8.1661705436836964</v>
      </c>
    </row>
    <row r="112" spans="1:39" x14ac:dyDescent="0.2">
      <c r="A112">
        <v>10.2319294070978</v>
      </c>
      <c r="AD112">
        <v>2.2375935961785398</v>
      </c>
      <c r="AE112">
        <f t="shared" si="14"/>
        <v>0.79649944861856803</v>
      </c>
      <c r="AF112">
        <f t="shared" si="15"/>
        <v>10.2319294070978</v>
      </c>
      <c r="AG112">
        <f t="shared" si="16"/>
        <v>1.513559992171662</v>
      </c>
      <c r="AH112">
        <f t="shared" si="17"/>
        <v>0.91187979821621201</v>
      </c>
      <c r="AI112">
        <f t="shared" si="18"/>
        <v>1.4735679922699161</v>
      </c>
      <c r="AJ112">
        <f t="shared" si="19"/>
        <v>1.811457538573537</v>
      </c>
      <c r="AK112">
        <f t="shared" si="20"/>
        <v>58.921857173409663</v>
      </c>
      <c r="AL112">
        <f t="shared" si="21"/>
        <v>8.1661705436836964</v>
      </c>
      <c r="AM112">
        <f t="shared" si="22"/>
        <v>25.626886154605462</v>
      </c>
    </row>
    <row r="113" spans="1:39" x14ac:dyDescent="0.2">
      <c r="A113">
        <v>1.513559992171662</v>
      </c>
      <c r="AD113">
        <v>0.79649944861856803</v>
      </c>
      <c r="AE113">
        <f t="shared" si="14"/>
        <v>10.2319294070978</v>
      </c>
      <c r="AF113">
        <f t="shared" si="15"/>
        <v>1.513559992171662</v>
      </c>
      <c r="AG113">
        <f t="shared" si="16"/>
        <v>0.91187979821621201</v>
      </c>
      <c r="AH113">
        <f t="shared" si="17"/>
        <v>1.4735679922699161</v>
      </c>
      <c r="AI113">
        <f t="shared" si="18"/>
        <v>1.811457538573537</v>
      </c>
      <c r="AJ113">
        <f t="shared" si="19"/>
        <v>58.921857173409663</v>
      </c>
      <c r="AK113">
        <f t="shared" si="20"/>
        <v>8.1661705436836964</v>
      </c>
      <c r="AL113">
        <f t="shared" si="21"/>
        <v>25.626886154605462</v>
      </c>
      <c r="AM113">
        <f t="shared" si="22"/>
        <v>7.6939746606230761</v>
      </c>
    </row>
    <row r="114" spans="1:39" x14ac:dyDescent="0.2">
      <c r="A114">
        <v>0.91187979821621201</v>
      </c>
      <c r="AD114">
        <v>10.2319294070978</v>
      </c>
      <c r="AE114">
        <f t="shared" si="14"/>
        <v>1.513559992171662</v>
      </c>
      <c r="AF114">
        <f t="shared" si="15"/>
        <v>0.91187979821621201</v>
      </c>
      <c r="AG114">
        <f t="shared" si="16"/>
        <v>1.4735679922699161</v>
      </c>
      <c r="AH114">
        <f t="shared" si="17"/>
        <v>1.811457538573537</v>
      </c>
      <c r="AI114">
        <f t="shared" si="18"/>
        <v>58.921857173409663</v>
      </c>
      <c r="AJ114">
        <f t="shared" si="19"/>
        <v>8.1661705436836964</v>
      </c>
      <c r="AK114">
        <f t="shared" si="20"/>
        <v>25.626886154605462</v>
      </c>
      <c r="AL114">
        <f t="shared" si="21"/>
        <v>7.6939746606230761</v>
      </c>
      <c r="AM114">
        <f t="shared" si="22"/>
        <v>7.7760786944155917</v>
      </c>
    </row>
    <row r="115" spans="1:39" x14ac:dyDescent="0.2">
      <c r="A115">
        <v>1.4735679922699161</v>
      </c>
      <c r="AD115">
        <v>1.513559992171662</v>
      </c>
      <c r="AE115">
        <f t="shared" si="14"/>
        <v>0.91187979821621201</v>
      </c>
      <c r="AF115">
        <f t="shared" si="15"/>
        <v>1.4735679922699161</v>
      </c>
      <c r="AG115">
        <f t="shared" si="16"/>
        <v>1.811457538573537</v>
      </c>
      <c r="AH115">
        <f t="shared" si="17"/>
        <v>58.921857173409663</v>
      </c>
      <c r="AI115">
        <f t="shared" si="18"/>
        <v>8.1661705436836964</v>
      </c>
      <c r="AJ115">
        <f t="shared" si="19"/>
        <v>25.626886154605462</v>
      </c>
      <c r="AK115">
        <f t="shared" si="20"/>
        <v>7.6939746606230761</v>
      </c>
      <c r="AL115">
        <f t="shared" si="21"/>
        <v>7.7760786944155917</v>
      </c>
      <c r="AM115">
        <f t="shared" si="22"/>
        <v>0.61784295093622599</v>
      </c>
    </row>
    <row r="116" spans="1:39" x14ac:dyDescent="0.2">
      <c r="A116">
        <v>1.811457538573537</v>
      </c>
      <c r="AD116">
        <v>0.91187979821621201</v>
      </c>
      <c r="AE116">
        <f t="shared" si="14"/>
        <v>1.4735679922699161</v>
      </c>
      <c r="AF116">
        <f t="shared" si="15"/>
        <v>1.811457538573537</v>
      </c>
      <c r="AG116">
        <f t="shared" si="16"/>
        <v>58.921857173409663</v>
      </c>
      <c r="AH116">
        <f t="shared" si="17"/>
        <v>8.1661705436836964</v>
      </c>
      <c r="AI116">
        <f t="shared" si="18"/>
        <v>25.626886154605462</v>
      </c>
      <c r="AJ116">
        <f t="shared" si="19"/>
        <v>7.6939746606230761</v>
      </c>
      <c r="AK116">
        <f t="shared" si="20"/>
        <v>7.7760786944155917</v>
      </c>
      <c r="AL116">
        <f t="shared" si="21"/>
        <v>0.61784295093622599</v>
      </c>
      <c r="AM116">
        <f t="shared" si="22"/>
        <v>2.366138829787066</v>
      </c>
    </row>
    <row r="117" spans="1:39" x14ac:dyDescent="0.2">
      <c r="A117">
        <v>58.921857173409663</v>
      </c>
      <c r="AD117">
        <v>1.4735679922699161</v>
      </c>
      <c r="AE117">
        <f t="shared" si="14"/>
        <v>1.811457538573537</v>
      </c>
      <c r="AF117">
        <f t="shared" si="15"/>
        <v>58.921857173409663</v>
      </c>
      <c r="AG117">
        <f t="shared" si="16"/>
        <v>8.1661705436836964</v>
      </c>
      <c r="AH117">
        <f t="shared" si="17"/>
        <v>25.626886154605462</v>
      </c>
      <c r="AI117">
        <f t="shared" si="18"/>
        <v>7.6939746606230761</v>
      </c>
      <c r="AJ117">
        <f t="shared" si="19"/>
        <v>7.7760786944155917</v>
      </c>
      <c r="AK117">
        <f t="shared" si="20"/>
        <v>0.61784295093622599</v>
      </c>
      <c r="AL117">
        <f t="shared" si="21"/>
        <v>2.366138829787066</v>
      </c>
      <c r="AM117">
        <f t="shared" si="22"/>
        <v>0.28450885003635101</v>
      </c>
    </row>
    <row r="118" spans="1:39" x14ac:dyDescent="0.2">
      <c r="A118">
        <v>8.1661705436836964</v>
      </c>
      <c r="AD118">
        <v>1.811457538573537</v>
      </c>
      <c r="AE118">
        <f t="shared" si="14"/>
        <v>58.921857173409663</v>
      </c>
      <c r="AF118">
        <f t="shared" si="15"/>
        <v>8.1661705436836964</v>
      </c>
      <c r="AG118">
        <f t="shared" si="16"/>
        <v>25.626886154605462</v>
      </c>
      <c r="AH118">
        <f t="shared" si="17"/>
        <v>7.6939746606230761</v>
      </c>
      <c r="AI118">
        <f t="shared" si="18"/>
        <v>7.7760786944155917</v>
      </c>
      <c r="AJ118">
        <f t="shared" si="19"/>
        <v>0.61784295093622599</v>
      </c>
      <c r="AK118">
        <f t="shared" si="20"/>
        <v>2.366138829787066</v>
      </c>
      <c r="AL118">
        <f t="shared" si="21"/>
        <v>0.28450885003635101</v>
      </c>
      <c r="AM118">
        <f t="shared" si="22"/>
        <v>0.23219233070713999</v>
      </c>
    </row>
    <row r="119" spans="1:39" x14ac:dyDescent="0.2">
      <c r="A119">
        <v>25.626886154605462</v>
      </c>
      <c r="AD119">
        <v>58.921857173409663</v>
      </c>
      <c r="AE119">
        <f t="shared" si="14"/>
        <v>8.1661705436836964</v>
      </c>
      <c r="AF119">
        <f t="shared" si="15"/>
        <v>25.626886154605462</v>
      </c>
      <c r="AG119">
        <f t="shared" si="16"/>
        <v>7.6939746606230761</v>
      </c>
      <c r="AH119">
        <f t="shared" si="17"/>
        <v>7.7760786944155917</v>
      </c>
      <c r="AI119">
        <f t="shared" si="18"/>
        <v>0.61784295093622599</v>
      </c>
      <c r="AJ119">
        <f t="shared" si="19"/>
        <v>2.366138829787066</v>
      </c>
      <c r="AK119">
        <f t="shared" si="20"/>
        <v>0.28450885003635101</v>
      </c>
      <c r="AL119">
        <f t="shared" si="21"/>
        <v>0.23219233070713999</v>
      </c>
      <c r="AM119">
        <f t="shared" si="22"/>
        <v>0.19814350513892401</v>
      </c>
    </row>
    <row r="120" spans="1:39" x14ac:dyDescent="0.2">
      <c r="A120">
        <v>7.6939746606230761</v>
      </c>
      <c r="AD120">
        <v>8.1661705436836964</v>
      </c>
      <c r="AE120">
        <f t="shared" si="14"/>
        <v>25.626886154605462</v>
      </c>
      <c r="AF120">
        <f t="shared" si="15"/>
        <v>7.6939746606230761</v>
      </c>
      <c r="AG120">
        <f t="shared" si="16"/>
        <v>7.7760786944155917</v>
      </c>
      <c r="AH120">
        <f t="shared" si="17"/>
        <v>0.61784295093622599</v>
      </c>
      <c r="AI120">
        <f t="shared" si="18"/>
        <v>2.366138829787066</v>
      </c>
      <c r="AJ120">
        <f t="shared" si="19"/>
        <v>0.28450885003635101</v>
      </c>
      <c r="AK120">
        <f t="shared" si="20"/>
        <v>0.23219233070713999</v>
      </c>
      <c r="AL120">
        <f t="shared" si="21"/>
        <v>0.19814350513892401</v>
      </c>
      <c r="AM120">
        <f t="shared" si="22"/>
        <v>0.83795954365025505</v>
      </c>
    </row>
    <row r="121" spans="1:39" x14ac:dyDescent="0.2">
      <c r="A121">
        <v>7.7760786944155917</v>
      </c>
      <c r="AD121">
        <v>25.626886154605462</v>
      </c>
      <c r="AE121">
        <f t="shared" si="14"/>
        <v>7.6939746606230761</v>
      </c>
      <c r="AF121">
        <f t="shared" si="15"/>
        <v>7.7760786944155917</v>
      </c>
      <c r="AG121">
        <f t="shared" si="16"/>
        <v>0.61784295093622599</v>
      </c>
      <c r="AH121">
        <f t="shared" si="17"/>
        <v>2.366138829787066</v>
      </c>
      <c r="AI121">
        <f t="shared" si="18"/>
        <v>0.28450885003635101</v>
      </c>
      <c r="AJ121">
        <f t="shared" si="19"/>
        <v>0.23219233070713999</v>
      </c>
      <c r="AK121">
        <f t="shared" si="20"/>
        <v>0.19814350513892401</v>
      </c>
      <c r="AL121">
        <f t="shared" si="21"/>
        <v>0.83795954365025505</v>
      </c>
      <c r="AM121">
        <f t="shared" si="22"/>
        <v>1.0736675635904021</v>
      </c>
    </row>
    <row r="122" spans="1:39" x14ac:dyDescent="0.2">
      <c r="A122">
        <v>0.61784295093622599</v>
      </c>
      <c r="AD122">
        <v>7.6939746606230761</v>
      </c>
      <c r="AE122">
        <f t="shared" si="14"/>
        <v>7.7760786944155917</v>
      </c>
      <c r="AF122">
        <f t="shared" si="15"/>
        <v>0.61784295093622599</v>
      </c>
      <c r="AG122">
        <f t="shared" si="16"/>
        <v>2.366138829787066</v>
      </c>
      <c r="AH122">
        <f t="shared" si="17"/>
        <v>0.28450885003635101</v>
      </c>
      <c r="AI122">
        <f t="shared" si="18"/>
        <v>0.23219233070713999</v>
      </c>
      <c r="AJ122">
        <f t="shared" si="19"/>
        <v>0.19814350513892401</v>
      </c>
      <c r="AK122">
        <f t="shared" si="20"/>
        <v>0.83795954365025505</v>
      </c>
      <c r="AL122">
        <f t="shared" si="21"/>
        <v>1.0736675635904021</v>
      </c>
      <c r="AM122">
        <f t="shared" si="22"/>
        <v>3.1533774494469009</v>
      </c>
    </row>
    <row r="123" spans="1:39" x14ac:dyDescent="0.2">
      <c r="A123">
        <v>2.366138829787066</v>
      </c>
      <c r="AD123">
        <v>7.7760786944155917</v>
      </c>
      <c r="AE123">
        <f t="shared" si="14"/>
        <v>0.61784295093622599</v>
      </c>
      <c r="AF123">
        <f t="shared" si="15"/>
        <v>2.366138829787066</v>
      </c>
      <c r="AG123">
        <f t="shared" si="16"/>
        <v>0.28450885003635101</v>
      </c>
      <c r="AH123">
        <f t="shared" si="17"/>
        <v>0.23219233070713999</v>
      </c>
      <c r="AI123">
        <f t="shared" si="18"/>
        <v>0.19814350513892401</v>
      </c>
      <c r="AJ123">
        <f t="shared" si="19"/>
        <v>0.83795954365025505</v>
      </c>
      <c r="AK123">
        <f t="shared" si="20"/>
        <v>1.0736675635904021</v>
      </c>
      <c r="AL123">
        <f t="shared" si="21"/>
        <v>3.1533774494469009</v>
      </c>
      <c r="AM123">
        <f t="shared" si="22"/>
        <v>51.012483786239827</v>
      </c>
    </row>
    <row r="124" spans="1:39" x14ac:dyDescent="0.2">
      <c r="A124">
        <v>0.28450885003635101</v>
      </c>
      <c r="AD124">
        <v>0.61784295093622599</v>
      </c>
      <c r="AE124">
        <f t="shared" si="14"/>
        <v>2.366138829787066</v>
      </c>
      <c r="AF124">
        <f t="shared" si="15"/>
        <v>0.28450885003635101</v>
      </c>
      <c r="AG124">
        <f t="shared" si="16"/>
        <v>0.23219233070713999</v>
      </c>
      <c r="AH124">
        <f t="shared" si="17"/>
        <v>0.19814350513892401</v>
      </c>
      <c r="AI124">
        <f t="shared" si="18"/>
        <v>0.83795954365025505</v>
      </c>
      <c r="AJ124">
        <f t="shared" si="19"/>
        <v>1.0736675635904021</v>
      </c>
      <c r="AK124">
        <f t="shared" si="20"/>
        <v>3.1533774494469009</v>
      </c>
      <c r="AL124">
        <f t="shared" si="21"/>
        <v>51.012483786239827</v>
      </c>
      <c r="AM124">
        <f t="shared" si="22"/>
        <v>5.1981227699637786</v>
      </c>
    </row>
    <row r="125" spans="1:39" x14ac:dyDescent="0.2">
      <c r="A125">
        <v>0.23219233070713999</v>
      </c>
      <c r="AD125">
        <v>2.366138829787066</v>
      </c>
      <c r="AE125">
        <f t="shared" si="14"/>
        <v>0.28450885003635101</v>
      </c>
      <c r="AF125">
        <f t="shared" si="15"/>
        <v>0.23219233070713999</v>
      </c>
      <c r="AG125">
        <f t="shared" si="16"/>
        <v>0.19814350513892401</v>
      </c>
      <c r="AH125">
        <f t="shared" si="17"/>
        <v>0.83795954365025505</v>
      </c>
      <c r="AI125">
        <f t="shared" si="18"/>
        <v>1.0736675635904021</v>
      </c>
      <c r="AJ125">
        <f t="shared" si="19"/>
        <v>3.1533774494469009</v>
      </c>
      <c r="AK125">
        <f t="shared" si="20"/>
        <v>51.012483786239827</v>
      </c>
      <c r="AL125">
        <f t="shared" si="21"/>
        <v>5.1981227699637786</v>
      </c>
      <c r="AM125">
        <f t="shared" si="22"/>
        <v>1.266848672052564</v>
      </c>
    </row>
    <row r="126" spans="1:39" x14ac:dyDescent="0.2">
      <c r="A126">
        <v>0.19814350513892401</v>
      </c>
      <c r="AD126">
        <v>0.28450885003635101</v>
      </c>
      <c r="AE126">
        <f t="shared" si="14"/>
        <v>0.23219233070713999</v>
      </c>
      <c r="AF126">
        <f t="shared" si="15"/>
        <v>0.19814350513892401</v>
      </c>
      <c r="AG126">
        <f t="shared" si="16"/>
        <v>0.83795954365025505</v>
      </c>
      <c r="AH126">
        <f t="shared" si="17"/>
        <v>1.0736675635904021</v>
      </c>
      <c r="AI126">
        <f t="shared" si="18"/>
        <v>3.1533774494469009</v>
      </c>
      <c r="AJ126">
        <f t="shared" si="19"/>
        <v>51.012483786239827</v>
      </c>
      <c r="AK126">
        <f t="shared" si="20"/>
        <v>5.1981227699637786</v>
      </c>
      <c r="AL126">
        <f t="shared" si="21"/>
        <v>1.266848672052564</v>
      </c>
      <c r="AM126">
        <f t="shared" si="22"/>
        <v>80.219633472341627</v>
      </c>
    </row>
    <row r="127" spans="1:39" x14ac:dyDescent="0.2">
      <c r="A127">
        <v>0.83795954365025505</v>
      </c>
      <c r="AD127">
        <v>0.23219233070713999</v>
      </c>
      <c r="AE127">
        <f t="shared" si="14"/>
        <v>0.19814350513892401</v>
      </c>
      <c r="AF127">
        <f t="shared" si="15"/>
        <v>0.83795954365025505</v>
      </c>
      <c r="AG127">
        <f t="shared" si="16"/>
        <v>1.0736675635904021</v>
      </c>
      <c r="AH127">
        <f t="shared" si="17"/>
        <v>3.1533774494469009</v>
      </c>
      <c r="AI127">
        <f t="shared" si="18"/>
        <v>51.012483786239827</v>
      </c>
      <c r="AJ127">
        <f t="shared" si="19"/>
        <v>5.1981227699637786</v>
      </c>
      <c r="AK127">
        <f t="shared" si="20"/>
        <v>1.266848672052564</v>
      </c>
      <c r="AL127">
        <f t="shared" si="21"/>
        <v>80.219633472341627</v>
      </c>
      <c r="AM127">
        <f t="shared" si="22"/>
        <v>99.549161314685151</v>
      </c>
    </row>
    <row r="128" spans="1:39" x14ac:dyDescent="0.2">
      <c r="A128">
        <v>1.0736675635904021</v>
      </c>
      <c r="AD128">
        <v>0.19814350513892401</v>
      </c>
      <c r="AE128">
        <f t="shared" si="14"/>
        <v>0.83795954365025505</v>
      </c>
      <c r="AF128">
        <f t="shared" si="15"/>
        <v>1.0736675635904021</v>
      </c>
      <c r="AG128">
        <f t="shared" si="16"/>
        <v>3.1533774494469009</v>
      </c>
      <c r="AH128">
        <f t="shared" si="17"/>
        <v>51.012483786239827</v>
      </c>
      <c r="AI128">
        <f t="shared" si="18"/>
        <v>5.1981227699637786</v>
      </c>
      <c r="AJ128">
        <f t="shared" si="19"/>
        <v>1.266848672052564</v>
      </c>
      <c r="AK128">
        <f t="shared" si="20"/>
        <v>80.219633472341627</v>
      </c>
      <c r="AL128">
        <f t="shared" si="21"/>
        <v>99.549161314685151</v>
      </c>
      <c r="AM128">
        <f t="shared" si="22"/>
        <v>1.0327861149153019</v>
      </c>
    </row>
    <row r="129" spans="1:39" x14ac:dyDescent="0.2">
      <c r="A129">
        <v>3.1533774494469009</v>
      </c>
      <c r="AD129">
        <v>0.83795954365025505</v>
      </c>
      <c r="AE129">
        <f t="shared" si="14"/>
        <v>1.0736675635904021</v>
      </c>
      <c r="AF129">
        <f t="shared" si="15"/>
        <v>3.1533774494469009</v>
      </c>
      <c r="AG129">
        <f t="shared" si="16"/>
        <v>51.012483786239827</v>
      </c>
      <c r="AH129">
        <f t="shared" si="17"/>
        <v>5.1981227699637786</v>
      </c>
      <c r="AI129">
        <f t="shared" si="18"/>
        <v>1.266848672052564</v>
      </c>
      <c r="AJ129">
        <f t="shared" si="19"/>
        <v>80.219633472341627</v>
      </c>
      <c r="AK129">
        <f t="shared" si="20"/>
        <v>99.549161314685151</v>
      </c>
      <c r="AL129">
        <f t="shared" si="21"/>
        <v>1.0327861149153019</v>
      </c>
      <c r="AM129">
        <f t="shared" si="22"/>
        <v>0.132047859645572</v>
      </c>
    </row>
    <row r="130" spans="1:39" x14ac:dyDescent="0.2">
      <c r="A130">
        <v>51.012483786239827</v>
      </c>
      <c r="AD130">
        <v>1.0736675635904021</v>
      </c>
      <c r="AE130">
        <f t="shared" si="14"/>
        <v>3.1533774494469009</v>
      </c>
      <c r="AF130">
        <f t="shared" si="15"/>
        <v>51.012483786239827</v>
      </c>
      <c r="AG130">
        <f t="shared" si="16"/>
        <v>5.1981227699637786</v>
      </c>
      <c r="AH130">
        <f t="shared" si="17"/>
        <v>1.266848672052564</v>
      </c>
      <c r="AI130">
        <f t="shared" si="18"/>
        <v>80.219633472341627</v>
      </c>
      <c r="AJ130">
        <f t="shared" si="19"/>
        <v>99.549161314685151</v>
      </c>
      <c r="AK130">
        <f t="shared" si="20"/>
        <v>1.0327861149153019</v>
      </c>
      <c r="AL130">
        <f t="shared" si="21"/>
        <v>0.132047859645572</v>
      </c>
      <c r="AM130">
        <f t="shared" si="22"/>
        <v>1.469371009862398</v>
      </c>
    </row>
    <row r="131" spans="1:39" x14ac:dyDescent="0.2">
      <c r="A131">
        <v>5.1981227699637786</v>
      </c>
      <c r="AD131">
        <v>3.1533774494469009</v>
      </c>
      <c r="AE131">
        <f t="shared" si="14"/>
        <v>51.012483786239827</v>
      </c>
      <c r="AF131">
        <f t="shared" si="15"/>
        <v>5.1981227699637786</v>
      </c>
      <c r="AG131">
        <f t="shared" si="16"/>
        <v>1.266848672052564</v>
      </c>
      <c r="AH131">
        <f t="shared" si="17"/>
        <v>80.219633472341627</v>
      </c>
      <c r="AI131">
        <f t="shared" si="18"/>
        <v>99.549161314685151</v>
      </c>
      <c r="AJ131">
        <f t="shared" si="19"/>
        <v>1.0327861149153019</v>
      </c>
      <c r="AK131">
        <f t="shared" si="20"/>
        <v>0.132047859645572</v>
      </c>
      <c r="AL131">
        <f t="shared" si="21"/>
        <v>1.469371009862398</v>
      </c>
      <c r="AM131">
        <f t="shared" si="22"/>
        <v>3.8224980708062479</v>
      </c>
    </row>
    <row r="132" spans="1:39" x14ac:dyDescent="0.2">
      <c r="A132">
        <v>1.266848672052564</v>
      </c>
      <c r="AD132">
        <v>51.012483786239827</v>
      </c>
      <c r="AE132">
        <f t="shared" ref="AE132:AE195" si="23">$A131</f>
        <v>5.1981227699637786</v>
      </c>
      <c r="AF132">
        <f t="shared" si="15"/>
        <v>1.266848672052564</v>
      </c>
      <c r="AG132">
        <f t="shared" si="16"/>
        <v>80.219633472341627</v>
      </c>
      <c r="AH132">
        <f t="shared" si="17"/>
        <v>99.549161314685151</v>
      </c>
      <c r="AI132">
        <f t="shared" si="18"/>
        <v>1.0327861149153019</v>
      </c>
      <c r="AJ132">
        <f t="shared" si="19"/>
        <v>0.132047859645572</v>
      </c>
      <c r="AK132">
        <f t="shared" si="20"/>
        <v>1.469371009862398</v>
      </c>
      <c r="AL132">
        <f t="shared" si="21"/>
        <v>3.8224980708062479</v>
      </c>
      <c r="AM132">
        <f t="shared" si="22"/>
        <v>4.5140937619094013</v>
      </c>
    </row>
    <row r="133" spans="1:39" x14ac:dyDescent="0.2">
      <c r="A133">
        <v>80.219633472341627</v>
      </c>
      <c r="AD133">
        <v>5.1981227699637786</v>
      </c>
      <c r="AE133">
        <f t="shared" si="23"/>
        <v>1.266848672052564</v>
      </c>
      <c r="AF133">
        <f t="shared" ref="AF133:AF196" si="24">$A133</f>
        <v>80.219633472341627</v>
      </c>
      <c r="AG133">
        <f t="shared" ref="AG133:AG196" si="25">$A134</f>
        <v>99.549161314685151</v>
      </c>
      <c r="AH133">
        <f t="shared" ref="AH133:AH196" si="26">$A135</f>
        <v>1.0327861149153019</v>
      </c>
      <c r="AI133">
        <f t="shared" ref="AI133:AI196" si="27">$A136</f>
        <v>0.132047859645572</v>
      </c>
      <c r="AJ133">
        <f t="shared" ref="AJ133:AJ196" si="28">$A137</f>
        <v>1.469371009862398</v>
      </c>
      <c r="AK133">
        <f t="shared" ref="AK133:AK196" si="29">$A138</f>
        <v>3.8224980708062479</v>
      </c>
      <c r="AL133">
        <f t="shared" ref="AL133:AL196" si="30">$A139</f>
        <v>4.5140937619094013</v>
      </c>
      <c r="AM133">
        <f t="shared" ref="AM133:AM196" si="31">$A140</f>
        <v>2.801613387393981</v>
      </c>
    </row>
    <row r="134" spans="1:39" x14ac:dyDescent="0.2">
      <c r="A134">
        <v>99.549161314685151</v>
      </c>
      <c r="AD134">
        <v>1.266848672052564</v>
      </c>
      <c r="AE134">
        <f t="shared" si="23"/>
        <v>80.219633472341627</v>
      </c>
      <c r="AF134">
        <f t="shared" si="24"/>
        <v>99.549161314685151</v>
      </c>
      <c r="AG134">
        <f t="shared" si="25"/>
        <v>1.0327861149153019</v>
      </c>
      <c r="AH134">
        <f t="shared" si="26"/>
        <v>0.132047859645572</v>
      </c>
      <c r="AI134">
        <f t="shared" si="27"/>
        <v>1.469371009862398</v>
      </c>
      <c r="AJ134">
        <f t="shared" si="28"/>
        <v>3.8224980708062479</v>
      </c>
      <c r="AK134">
        <f t="shared" si="29"/>
        <v>4.5140937619094013</v>
      </c>
      <c r="AL134">
        <f t="shared" si="30"/>
        <v>2.801613387393981</v>
      </c>
      <c r="AM134">
        <f t="shared" si="31"/>
        <v>0.32133686878260098</v>
      </c>
    </row>
    <row r="135" spans="1:39" x14ac:dyDescent="0.2">
      <c r="A135">
        <v>1.0327861149153019</v>
      </c>
      <c r="AD135">
        <v>80.219633472341627</v>
      </c>
      <c r="AE135">
        <f t="shared" si="23"/>
        <v>99.549161314685151</v>
      </c>
      <c r="AF135">
        <f t="shared" si="24"/>
        <v>1.0327861149153019</v>
      </c>
      <c r="AG135">
        <f t="shared" si="25"/>
        <v>0.132047859645572</v>
      </c>
      <c r="AH135">
        <f t="shared" si="26"/>
        <v>1.469371009862398</v>
      </c>
      <c r="AI135">
        <f t="shared" si="27"/>
        <v>3.8224980708062479</v>
      </c>
      <c r="AJ135">
        <f t="shared" si="28"/>
        <v>4.5140937619094013</v>
      </c>
      <c r="AK135">
        <f t="shared" si="29"/>
        <v>2.801613387393981</v>
      </c>
      <c r="AL135">
        <f t="shared" si="30"/>
        <v>0.32133686878260098</v>
      </c>
      <c r="AM135">
        <f t="shared" si="31"/>
        <v>0.44664322096985198</v>
      </c>
    </row>
    <row r="136" spans="1:39" x14ac:dyDescent="0.2">
      <c r="A136">
        <v>0.132047859645572</v>
      </c>
      <c r="AD136">
        <v>99.549161314685151</v>
      </c>
      <c r="AE136">
        <f t="shared" si="23"/>
        <v>1.0327861149153019</v>
      </c>
      <c r="AF136">
        <f t="shared" si="24"/>
        <v>0.132047859645572</v>
      </c>
      <c r="AG136">
        <f t="shared" si="25"/>
        <v>1.469371009862398</v>
      </c>
      <c r="AH136">
        <f t="shared" si="26"/>
        <v>3.8224980708062479</v>
      </c>
      <c r="AI136">
        <f t="shared" si="27"/>
        <v>4.5140937619094013</v>
      </c>
      <c r="AJ136">
        <f t="shared" si="28"/>
        <v>2.801613387393981</v>
      </c>
      <c r="AK136">
        <f t="shared" si="29"/>
        <v>0.32133686878260098</v>
      </c>
      <c r="AL136">
        <f t="shared" si="30"/>
        <v>0.44664322096985198</v>
      </c>
      <c r="AM136">
        <f t="shared" si="31"/>
        <v>0.67223870472819003</v>
      </c>
    </row>
    <row r="137" spans="1:39" x14ac:dyDescent="0.2">
      <c r="A137">
        <v>1.469371009862398</v>
      </c>
      <c r="AD137">
        <v>1.0327861149153019</v>
      </c>
      <c r="AE137">
        <f t="shared" si="23"/>
        <v>0.132047859645572</v>
      </c>
      <c r="AF137">
        <f t="shared" si="24"/>
        <v>1.469371009862398</v>
      </c>
      <c r="AG137">
        <f t="shared" si="25"/>
        <v>3.8224980708062479</v>
      </c>
      <c r="AH137">
        <f t="shared" si="26"/>
        <v>4.5140937619094013</v>
      </c>
      <c r="AI137">
        <f t="shared" si="27"/>
        <v>2.801613387393981</v>
      </c>
      <c r="AJ137">
        <f t="shared" si="28"/>
        <v>0.32133686878260098</v>
      </c>
      <c r="AK137">
        <f t="shared" si="29"/>
        <v>0.44664322096985198</v>
      </c>
      <c r="AL137">
        <f t="shared" si="30"/>
        <v>0.67223870472819003</v>
      </c>
      <c r="AM137">
        <f t="shared" si="31"/>
        <v>1.919767076818697</v>
      </c>
    </row>
    <row r="138" spans="1:39" x14ac:dyDescent="0.2">
      <c r="A138">
        <v>3.8224980708062479</v>
      </c>
      <c r="AD138">
        <v>0.132047859645572</v>
      </c>
      <c r="AE138">
        <f t="shared" si="23"/>
        <v>1.469371009862398</v>
      </c>
      <c r="AF138">
        <f t="shared" si="24"/>
        <v>3.8224980708062479</v>
      </c>
      <c r="AG138">
        <f t="shared" si="25"/>
        <v>4.5140937619094013</v>
      </c>
      <c r="AH138">
        <f t="shared" si="26"/>
        <v>2.801613387393981</v>
      </c>
      <c r="AI138">
        <f t="shared" si="27"/>
        <v>0.32133686878260098</v>
      </c>
      <c r="AJ138">
        <f t="shared" si="28"/>
        <v>0.44664322096985198</v>
      </c>
      <c r="AK138">
        <f t="shared" si="29"/>
        <v>0.67223870472819003</v>
      </c>
      <c r="AL138">
        <f t="shared" si="30"/>
        <v>1.919767076818697</v>
      </c>
      <c r="AM138">
        <f t="shared" si="31"/>
        <v>2.25287065798994</v>
      </c>
    </row>
    <row r="139" spans="1:39" x14ac:dyDescent="0.2">
      <c r="A139">
        <v>4.5140937619094013</v>
      </c>
      <c r="AD139">
        <v>1.469371009862398</v>
      </c>
      <c r="AE139">
        <f t="shared" si="23"/>
        <v>3.8224980708062479</v>
      </c>
      <c r="AF139">
        <f t="shared" si="24"/>
        <v>4.5140937619094013</v>
      </c>
      <c r="AG139">
        <f t="shared" si="25"/>
        <v>2.801613387393981</v>
      </c>
      <c r="AH139">
        <f t="shared" si="26"/>
        <v>0.32133686878260098</v>
      </c>
      <c r="AI139">
        <f t="shared" si="27"/>
        <v>0.44664322096985198</v>
      </c>
      <c r="AJ139">
        <f t="shared" si="28"/>
        <v>0.67223870472819003</v>
      </c>
      <c r="AK139">
        <f t="shared" si="29"/>
        <v>1.919767076818697</v>
      </c>
      <c r="AL139">
        <f t="shared" si="30"/>
        <v>2.25287065798994</v>
      </c>
      <c r="AM139">
        <f t="shared" si="31"/>
        <v>2.3353728182816802</v>
      </c>
    </row>
    <row r="140" spans="1:39" x14ac:dyDescent="0.2">
      <c r="A140">
        <v>2.801613387393981</v>
      </c>
      <c r="AD140">
        <v>3.8224980708062479</v>
      </c>
      <c r="AE140">
        <f t="shared" si="23"/>
        <v>4.5140937619094013</v>
      </c>
      <c r="AF140">
        <f t="shared" si="24"/>
        <v>2.801613387393981</v>
      </c>
      <c r="AG140">
        <f t="shared" si="25"/>
        <v>0.32133686878260098</v>
      </c>
      <c r="AH140">
        <f t="shared" si="26"/>
        <v>0.44664322096985198</v>
      </c>
      <c r="AI140">
        <f t="shared" si="27"/>
        <v>0.67223870472819003</v>
      </c>
      <c r="AJ140">
        <f t="shared" si="28"/>
        <v>1.919767076818697</v>
      </c>
      <c r="AK140">
        <f t="shared" si="29"/>
        <v>2.25287065798994</v>
      </c>
      <c r="AL140">
        <f t="shared" si="30"/>
        <v>2.3353728182816802</v>
      </c>
      <c r="AM140">
        <f t="shared" si="31"/>
        <v>0.33767821607787601</v>
      </c>
    </row>
    <row r="141" spans="1:39" x14ac:dyDescent="0.2">
      <c r="A141">
        <v>0.32133686878260098</v>
      </c>
      <c r="AD141">
        <v>4.5140937619094013</v>
      </c>
      <c r="AE141">
        <f t="shared" si="23"/>
        <v>2.801613387393981</v>
      </c>
      <c r="AF141">
        <f t="shared" si="24"/>
        <v>0.32133686878260098</v>
      </c>
      <c r="AG141">
        <f t="shared" si="25"/>
        <v>0.44664322096985198</v>
      </c>
      <c r="AH141">
        <f t="shared" si="26"/>
        <v>0.67223870472819003</v>
      </c>
      <c r="AI141">
        <f t="shared" si="27"/>
        <v>1.919767076818697</v>
      </c>
      <c r="AJ141">
        <f t="shared" si="28"/>
        <v>2.25287065798994</v>
      </c>
      <c r="AK141">
        <f t="shared" si="29"/>
        <v>2.3353728182816802</v>
      </c>
      <c r="AL141">
        <f t="shared" si="30"/>
        <v>0.33767821607787601</v>
      </c>
      <c r="AM141">
        <f t="shared" si="31"/>
        <v>0.95997943001536901</v>
      </c>
    </row>
    <row r="142" spans="1:39" x14ac:dyDescent="0.2">
      <c r="A142">
        <v>0.44664322096985198</v>
      </c>
      <c r="AD142">
        <v>2.801613387393981</v>
      </c>
      <c r="AE142">
        <f t="shared" si="23"/>
        <v>0.32133686878260098</v>
      </c>
      <c r="AF142">
        <f t="shared" si="24"/>
        <v>0.44664322096985198</v>
      </c>
      <c r="AG142">
        <f t="shared" si="25"/>
        <v>0.67223870472819003</v>
      </c>
      <c r="AH142">
        <f t="shared" si="26"/>
        <v>1.919767076818697</v>
      </c>
      <c r="AI142">
        <f t="shared" si="27"/>
        <v>2.25287065798994</v>
      </c>
      <c r="AJ142">
        <f t="shared" si="28"/>
        <v>2.3353728182816802</v>
      </c>
      <c r="AK142">
        <f t="shared" si="29"/>
        <v>0.33767821607787601</v>
      </c>
      <c r="AL142">
        <f t="shared" si="30"/>
        <v>0.95997943001536901</v>
      </c>
      <c r="AM142">
        <f t="shared" si="31"/>
        <v>0.27437400823368502</v>
      </c>
    </row>
    <row r="143" spans="1:39" x14ac:dyDescent="0.2">
      <c r="A143">
        <v>0.67223870472819003</v>
      </c>
      <c r="AD143">
        <v>0.32133686878260098</v>
      </c>
      <c r="AE143">
        <f t="shared" si="23"/>
        <v>0.44664322096985198</v>
      </c>
      <c r="AF143">
        <f t="shared" si="24"/>
        <v>0.67223870472819003</v>
      </c>
      <c r="AG143">
        <f t="shared" si="25"/>
        <v>1.919767076818697</v>
      </c>
      <c r="AH143">
        <f t="shared" si="26"/>
        <v>2.25287065798994</v>
      </c>
      <c r="AI143">
        <f t="shared" si="27"/>
        <v>2.3353728182816802</v>
      </c>
      <c r="AJ143">
        <f t="shared" si="28"/>
        <v>0.33767821607787601</v>
      </c>
      <c r="AK143">
        <f t="shared" si="29"/>
        <v>0.95997943001536901</v>
      </c>
      <c r="AL143">
        <f t="shared" si="30"/>
        <v>0.27437400823368502</v>
      </c>
      <c r="AM143">
        <f t="shared" si="31"/>
        <v>0.340914147523741</v>
      </c>
    </row>
    <row r="144" spans="1:39" x14ac:dyDescent="0.2">
      <c r="A144">
        <v>1.919767076818697</v>
      </c>
      <c r="AD144">
        <v>0.44664322096985198</v>
      </c>
      <c r="AE144">
        <f t="shared" si="23"/>
        <v>0.67223870472819003</v>
      </c>
      <c r="AF144">
        <f t="shared" si="24"/>
        <v>1.919767076818697</v>
      </c>
      <c r="AG144">
        <f t="shared" si="25"/>
        <v>2.25287065798994</v>
      </c>
      <c r="AH144">
        <f t="shared" si="26"/>
        <v>2.3353728182816802</v>
      </c>
      <c r="AI144">
        <f t="shared" si="27"/>
        <v>0.33767821607787601</v>
      </c>
      <c r="AJ144">
        <f t="shared" si="28"/>
        <v>0.95997943001536901</v>
      </c>
      <c r="AK144">
        <f t="shared" si="29"/>
        <v>0.27437400823368502</v>
      </c>
      <c r="AL144">
        <f t="shared" si="30"/>
        <v>0.340914147523741</v>
      </c>
      <c r="AM144">
        <f t="shared" si="31"/>
        <v>1.065889141173253</v>
      </c>
    </row>
    <row r="145" spans="1:39" x14ac:dyDescent="0.2">
      <c r="A145">
        <v>2.25287065798994</v>
      </c>
      <c r="AD145">
        <v>0.67223870472819003</v>
      </c>
      <c r="AE145">
        <f t="shared" si="23"/>
        <v>1.919767076818697</v>
      </c>
      <c r="AF145">
        <f t="shared" si="24"/>
        <v>2.25287065798994</v>
      </c>
      <c r="AG145">
        <f t="shared" si="25"/>
        <v>2.3353728182816802</v>
      </c>
      <c r="AH145">
        <f t="shared" si="26"/>
        <v>0.33767821607787601</v>
      </c>
      <c r="AI145">
        <f t="shared" si="27"/>
        <v>0.95997943001536901</v>
      </c>
      <c r="AJ145">
        <f t="shared" si="28"/>
        <v>0.27437400823368502</v>
      </c>
      <c r="AK145">
        <f t="shared" si="29"/>
        <v>0.340914147523741</v>
      </c>
      <c r="AL145">
        <f t="shared" si="30"/>
        <v>1.065889141173253</v>
      </c>
      <c r="AM145">
        <f t="shared" si="31"/>
        <v>1.0855406260591409</v>
      </c>
    </row>
    <row r="146" spans="1:39" x14ac:dyDescent="0.2">
      <c r="A146">
        <v>2.3353728182816802</v>
      </c>
      <c r="AD146">
        <v>1.919767076818697</v>
      </c>
      <c r="AE146">
        <f t="shared" si="23"/>
        <v>2.25287065798994</v>
      </c>
      <c r="AF146">
        <f t="shared" si="24"/>
        <v>2.3353728182816802</v>
      </c>
      <c r="AG146">
        <f t="shared" si="25"/>
        <v>0.33767821607787601</v>
      </c>
      <c r="AH146">
        <f t="shared" si="26"/>
        <v>0.95997943001536901</v>
      </c>
      <c r="AI146">
        <f t="shared" si="27"/>
        <v>0.27437400823368502</v>
      </c>
      <c r="AJ146">
        <f t="shared" si="28"/>
        <v>0.340914147523741</v>
      </c>
      <c r="AK146">
        <f t="shared" si="29"/>
        <v>1.065889141173253</v>
      </c>
      <c r="AL146">
        <f t="shared" si="30"/>
        <v>1.0855406260591409</v>
      </c>
      <c r="AM146">
        <f t="shared" si="31"/>
        <v>8.0347472407027443</v>
      </c>
    </row>
    <row r="147" spans="1:39" x14ac:dyDescent="0.2">
      <c r="A147">
        <v>0.33767821607787601</v>
      </c>
      <c r="AD147">
        <v>2.25287065798994</v>
      </c>
      <c r="AE147">
        <f t="shared" si="23"/>
        <v>2.3353728182816802</v>
      </c>
      <c r="AF147">
        <f t="shared" si="24"/>
        <v>0.33767821607787601</v>
      </c>
      <c r="AG147">
        <f t="shared" si="25"/>
        <v>0.95997943001536901</v>
      </c>
      <c r="AH147">
        <f t="shared" si="26"/>
        <v>0.27437400823368502</v>
      </c>
      <c r="AI147">
        <f t="shared" si="27"/>
        <v>0.340914147523741</v>
      </c>
      <c r="AJ147">
        <f t="shared" si="28"/>
        <v>1.065889141173253</v>
      </c>
      <c r="AK147">
        <f t="shared" si="29"/>
        <v>1.0855406260591409</v>
      </c>
      <c r="AL147">
        <f t="shared" si="30"/>
        <v>8.0347472407027443</v>
      </c>
      <c r="AM147">
        <f t="shared" si="31"/>
        <v>5.0958782142331662</v>
      </c>
    </row>
    <row r="148" spans="1:39" x14ac:dyDescent="0.2">
      <c r="A148">
        <v>0.95997943001536901</v>
      </c>
      <c r="AD148">
        <v>2.3353728182816802</v>
      </c>
      <c r="AE148">
        <f t="shared" si="23"/>
        <v>0.33767821607787601</v>
      </c>
      <c r="AF148">
        <f t="shared" si="24"/>
        <v>0.95997943001536901</v>
      </c>
      <c r="AG148">
        <f t="shared" si="25"/>
        <v>0.27437400823368502</v>
      </c>
      <c r="AH148">
        <f t="shared" si="26"/>
        <v>0.340914147523741</v>
      </c>
      <c r="AI148">
        <f t="shared" si="27"/>
        <v>1.065889141173253</v>
      </c>
      <c r="AJ148">
        <f t="shared" si="28"/>
        <v>1.0855406260591409</v>
      </c>
      <c r="AK148">
        <f t="shared" si="29"/>
        <v>8.0347472407027443</v>
      </c>
      <c r="AL148">
        <f t="shared" si="30"/>
        <v>5.0958782142331662</v>
      </c>
      <c r="AM148">
        <f t="shared" si="31"/>
        <v>0.25602817801491301</v>
      </c>
    </row>
    <row r="149" spans="1:39" x14ac:dyDescent="0.2">
      <c r="A149">
        <v>0.27437400823368502</v>
      </c>
      <c r="AD149">
        <v>0.33767821607787601</v>
      </c>
      <c r="AE149">
        <f t="shared" si="23"/>
        <v>0.95997943001536901</v>
      </c>
      <c r="AF149">
        <f t="shared" si="24"/>
        <v>0.27437400823368502</v>
      </c>
      <c r="AG149">
        <f t="shared" si="25"/>
        <v>0.340914147523741</v>
      </c>
      <c r="AH149">
        <f t="shared" si="26"/>
        <v>1.065889141173253</v>
      </c>
      <c r="AI149">
        <f t="shared" si="27"/>
        <v>1.0855406260591409</v>
      </c>
      <c r="AJ149">
        <f t="shared" si="28"/>
        <v>8.0347472407027443</v>
      </c>
      <c r="AK149">
        <f t="shared" si="29"/>
        <v>5.0958782142331662</v>
      </c>
      <c r="AL149">
        <f t="shared" si="30"/>
        <v>0.25602817801491301</v>
      </c>
      <c r="AM149">
        <f t="shared" si="31"/>
        <v>7.8242671555992516</v>
      </c>
    </row>
    <row r="150" spans="1:39" x14ac:dyDescent="0.2">
      <c r="A150">
        <v>0.340914147523741</v>
      </c>
      <c r="AD150">
        <v>0.95997943001536901</v>
      </c>
      <c r="AE150">
        <f t="shared" si="23"/>
        <v>0.27437400823368502</v>
      </c>
      <c r="AF150">
        <f t="shared" si="24"/>
        <v>0.340914147523741</v>
      </c>
      <c r="AG150">
        <f t="shared" si="25"/>
        <v>1.065889141173253</v>
      </c>
      <c r="AH150">
        <f t="shared" si="26"/>
        <v>1.0855406260591409</v>
      </c>
      <c r="AI150">
        <f t="shared" si="27"/>
        <v>8.0347472407027443</v>
      </c>
      <c r="AJ150">
        <f t="shared" si="28"/>
        <v>5.0958782142331662</v>
      </c>
      <c r="AK150">
        <f t="shared" si="29"/>
        <v>0.25602817801491301</v>
      </c>
      <c r="AL150">
        <f t="shared" si="30"/>
        <v>7.8242671555992516</v>
      </c>
      <c r="AM150">
        <f t="shared" si="31"/>
        <v>2.080241938199987</v>
      </c>
    </row>
    <row r="151" spans="1:39" x14ac:dyDescent="0.2">
      <c r="A151">
        <v>1.065889141173253</v>
      </c>
      <c r="AD151">
        <v>0.27437400823368502</v>
      </c>
      <c r="AE151">
        <f t="shared" si="23"/>
        <v>0.340914147523741</v>
      </c>
      <c r="AF151">
        <f t="shared" si="24"/>
        <v>1.065889141173253</v>
      </c>
      <c r="AG151">
        <f t="shared" si="25"/>
        <v>1.0855406260591409</v>
      </c>
      <c r="AH151">
        <f t="shared" si="26"/>
        <v>8.0347472407027443</v>
      </c>
      <c r="AI151">
        <f t="shared" si="27"/>
        <v>5.0958782142331662</v>
      </c>
      <c r="AJ151">
        <f t="shared" si="28"/>
        <v>0.25602817801491301</v>
      </c>
      <c r="AK151">
        <f t="shared" si="29"/>
        <v>7.8242671555992516</v>
      </c>
      <c r="AL151">
        <f t="shared" si="30"/>
        <v>2.080241938199987</v>
      </c>
      <c r="AM151">
        <f t="shared" si="31"/>
        <v>2.472560789099103</v>
      </c>
    </row>
    <row r="152" spans="1:39" x14ac:dyDescent="0.2">
      <c r="A152">
        <v>1.0855406260591409</v>
      </c>
      <c r="AD152">
        <v>0.340914147523741</v>
      </c>
      <c r="AE152">
        <f t="shared" si="23"/>
        <v>1.065889141173253</v>
      </c>
      <c r="AF152">
        <f t="shared" si="24"/>
        <v>1.0855406260591409</v>
      </c>
      <c r="AG152">
        <f t="shared" si="25"/>
        <v>8.0347472407027443</v>
      </c>
      <c r="AH152">
        <f t="shared" si="26"/>
        <v>5.0958782142331662</v>
      </c>
      <c r="AI152">
        <f t="shared" si="27"/>
        <v>0.25602817801491301</v>
      </c>
      <c r="AJ152">
        <f t="shared" si="28"/>
        <v>7.8242671555992516</v>
      </c>
      <c r="AK152">
        <f t="shared" si="29"/>
        <v>2.080241938199987</v>
      </c>
      <c r="AL152">
        <f t="shared" si="30"/>
        <v>2.472560789099103</v>
      </c>
      <c r="AM152">
        <f t="shared" si="31"/>
        <v>6.5836462827153577</v>
      </c>
    </row>
    <row r="153" spans="1:39" x14ac:dyDescent="0.2">
      <c r="A153">
        <v>8.0347472407027443</v>
      </c>
      <c r="AD153">
        <v>1.065889141173253</v>
      </c>
      <c r="AE153">
        <f t="shared" si="23"/>
        <v>1.0855406260591409</v>
      </c>
      <c r="AF153">
        <f t="shared" si="24"/>
        <v>8.0347472407027443</v>
      </c>
      <c r="AG153">
        <f t="shared" si="25"/>
        <v>5.0958782142331662</v>
      </c>
      <c r="AH153">
        <f t="shared" si="26"/>
        <v>0.25602817801491301</v>
      </c>
      <c r="AI153">
        <f t="shared" si="27"/>
        <v>7.8242671555992516</v>
      </c>
      <c r="AJ153">
        <f t="shared" si="28"/>
        <v>2.080241938199987</v>
      </c>
      <c r="AK153">
        <f t="shared" si="29"/>
        <v>2.472560789099103</v>
      </c>
      <c r="AL153">
        <f t="shared" si="30"/>
        <v>6.5836462827153577</v>
      </c>
      <c r="AM153">
        <f t="shared" si="31"/>
        <v>63.548360104279801</v>
      </c>
    </row>
    <row r="154" spans="1:39" x14ac:dyDescent="0.2">
      <c r="A154">
        <v>5.0958782142331662</v>
      </c>
      <c r="AD154">
        <v>1.0855406260591409</v>
      </c>
      <c r="AE154">
        <f t="shared" si="23"/>
        <v>8.0347472407027443</v>
      </c>
      <c r="AF154">
        <f t="shared" si="24"/>
        <v>5.0958782142331662</v>
      </c>
      <c r="AG154">
        <f t="shared" si="25"/>
        <v>0.25602817801491301</v>
      </c>
      <c r="AH154">
        <f t="shared" si="26"/>
        <v>7.8242671555992516</v>
      </c>
      <c r="AI154">
        <f t="shared" si="27"/>
        <v>2.080241938199987</v>
      </c>
      <c r="AJ154">
        <f t="shared" si="28"/>
        <v>2.472560789099103</v>
      </c>
      <c r="AK154">
        <f t="shared" si="29"/>
        <v>6.5836462827153577</v>
      </c>
      <c r="AL154">
        <f t="shared" si="30"/>
        <v>63.548360104279801</v>
      </c>
      <c r="AM154">
        <f t="shared" si="31"/>
        <v>1.0677534691808881</v>
      </c>
    </row>
    <row r="155" spans="1:39" x14ac:dyDescent="0.2">
      <c r="A155">
        <v>0.25602817801491301</v>
      </c>
      <c r="AD155">
        <v>8.0347472407027443</v>
      </c>
      <c r="AE155">
        <f t="shared" si="23"/>
        <v>5.0958782142331662</v>
      </c>
      <c r="AF155">
        <f t="shared" si="24"/>
        <v>0.25602817801491301</v>
      </c>
      <c r="AG155">
        <f t="shared" si="25"/>
        <v>7.8242671555992516</v>
      </c>
      <c r="AH155">
        <f t="shared" si="26"/>
        <v>2.080241938199987</v>
      </c>
      <c r="AI155">
        <f t="shared" si="27"/>
        <v>2.472560789099103</v>
      </c>
      <c r="AJ155">
        <f t="shared" si="28"/>
        <v>6.5836462827153577</v>
      </c>
      <c r="AK155">
        <f t="shared" si="29"/>
        <v>63.548360104279801</v>
      </c>
      <c r="AL155">
        <f t="shared" si="30"/>
        <v>1.0677534691808881</v>
      </c>
      <c r="AM155">
        <f t="shared" si="31"/>
        <v>1.655137883941264</v>
      </c>
    </row>
    <row r="156" spans="1:39" x14ac:dyDescent="0.2">
      <c r="A156">
        <v>7.8242671555992516</v>
      </c>
      <c r="AD156">
        <v>5.0958782142331662</v>
      </c>
      <c r="AE156">
        <f t="shared" si="23"/>
        <v>0.25602817801491301</v>
      </c>
      <c r="AF156">
        <f t="shared" si="24"/>
        <v>7.8242671555992516</v>
      </c>
      <c r="AG156">
        <f t="shared" si="25"/>
        <v>2.080241938199987</v>
      </c>
      <c r="AH156">
        <f t="shared" si="26"/>
        <v>2.472560789099103</v>
      </c>
      <c r="AI156">
        <f t="shared" si="27"/>
        <v>6.5836462827153577</v>
      </c>
      <c r="AJ156">
        <f t="shared" si="28"/>
        <v>63.548360104279801</v>
      </c>
      <c r="AK156">
        <f t="shared" si="29"/>
        <v>1.0677534691808881</v>
      </c>
      <c r="AL156">
        <f t="shared" si="30"/>
        <v>1.655137883941264</v>
      </c>
      <c r="AM156">
        <f t="shared" si="31"/>
        <v>2.291919835374912</v>
      </c>
    </row>
    <row r="157" spans="1:39" x14ac:dyDescent="0.2">
      <c r="A157">
        <v>2.080241938199987</v>
      </c>
      <c r="AD157">
        <v>0.25602817801491301</v>
      </c>
      <c r="AE157">
        <f t="shared" si="23"/>
        <v>7.8242671555992516</v>
      </c>
      <c r="AF157">
        <f t="shared" si="24"/>
        <v>2.080241938199987</v>
      </c>
      <c r="AG157">
        <f t="shared" si="25"/>
        <v>2.472560789099103</v>
      </c>
      <c r="AH157">
        <f t="shared" si="26"/>
        <v>6.5836462827153577</v>
      </c>
      <c r="AI157">
        <f t="shared" si="27"/>
        <v>63.548360104279801</v>
      </c>
      <c r="AJ157">
        <f t="shared" si="28"/>
        <v>1.0677534691808881</v>
      </c>
      <c r="AK157">
        <f t="shared" si="29"/>
        <v>1.655137883941264</v>
      </c>
      <c r="AL157">
        <f t="shared" si="30"/>
        <v>2.291919835374912</v>
      </c>
      <c r="AM157">
        <f t="shared" si="31"/>
        <v>1.14389909725731</v>
      </c>
    </row>
    <row r="158" spans="1:39" x14ac:dyDescent="0.2">
      <c r="A158">
        <v>2.472560789099103</v>
      </c>
      <c r="AD158">
        <v>7.8242671555992516</v>
      </c>
      <c r="AE158">
        <f t="shared" si="23"/>
        <v>2.080241938199987</v>
      </c>
      <c r="AF158">
        <f t="shared" si="24"/>
        <v>2.472560789099103</v>
      </c>
      <c r="AG158">
        <f t="shared" si="25"/>
        <v>6.5836462827153577</v>
      </c>
      <c r="AH158">
        <f t="shared" si="26"/>
        <v>63.548360104279801</v>
      </c>
      <c r="AI158">
        <f t="shared" si="27"/>
        <v>1.0677534691808881</v>
      </c>
      <c r="AJ158">
        <f t="shared" si="28"/>
        <v>1.655137883941264</v>
      </c>
      <c r="AK158">
        <f t="shared" si="29"/>
        <v>2.291919835374912</v>
      </c>
      <c r="AL158">
        <f t="shared" si="30"/>
        <v>1.14389909725731</v>
      </c>
      <c r="AM158">
        <f t="shared" si="31"/>
        <v>56.593000864081951</v>
      </c>
    </row>
    <row r="159" spans="1:39" x14ac:dyDescent="0.2">
      <c r="A159">
        <v>6.5836462827153577</v>
      </c>
      <c r="AD159">
        <v>2.080241938199987</v>
      </c>
      <c r="AE159">
        <f t="shared" si="23"/>
        <v>2.472560789099103</v>
      </c>
      <c r="AF159">
        <f t="shared" si="24"/>
        <v>6.5836462827153577</v>
      </c>
      <c r="AG159">
        <f t="shared" si="25"/>
        <v>63.548360104279801</v>
      </c>
      <c r="AH159">
        <f t="shared" si="26"/>
        <v>1.0677534691808881</v>
      </c>
      <c r="AI159">
        <f t="shared" si="27"/>
        <v>1.655137883941264</v>
      </c>
      <c r="AJ159">
        <f t="shared" si="28"/>
        <v>2.291919835374912</v>
      </c>
      <c r="AK159">
        <f t="shared" si="29"/>
        <v>1.14389909725731</v>
      </c>
      <c r="AL159">
        <f t="shared" si="30"/>
        <v>56.593000864081951</v>
      </c>
      <c r="AM159">
        <f t="shared" si="31"/>
        <v>2.7096416256233931</v>
      </c>
    </row>
    <row r="160" spans="1:39" x14ac:dyDescent="0.2">
      <c r="A160">
        <v>63.548360104279801</v>
      </c>
      <c r="AD160">
        <v>2.472560789099103</v>
      </c>
      <c r="AE160">
        <f t="shared" si="23"/>
        <v>6.5836462827153577</v>
      </c>
      <c r="AF160">
        <f t="shared" si="24"/>
        <v>63.548360104279801</v>
      </c>
      <c r="AG160">
        <f t="shared" si="25"/>
        <v>1.0677534691808881</v>
      </c>
      <c r="AH160">
        <f t="shared" si="26"/>
        <v>1.655137883941264</v>
      </c>
      <c r="AI160">
        <f t="shared" si="27"/>
        <v>2.291919835374912</v>
      </c>
      <c r="AJ160">
        <f t="shared" si="28"/>
        <v>1.14389909725731</v>
      </c>
      <c r="AK160">
        <f t="shared" si="29"/>
        <v>56.593000864081951</v>
      </c>
      <c r="AL160">
        <f t="shared" si="30"/>
        <v>2.7096416256233931</v>
      </c>
      <c r="AM160">
        <f t="shared" si="31"/>
        <v>1.245964220825664</v>
      </c>
    </row>
    <row r="161" spans="1:39" x14ac:dyDescent="0.2">
      <c r="A161">
        <v>1.0677534691808881</v>
      </c>
      <c r="AD161">
        <v>6.5836462827153577</v>
      </c>
      <c r="AE161">
        <f t="shared" si="23"/>
        <v>63.548360104279801</v>
      </c>
      <c r="AF161">
        <f t="shared" si="24"/>
        <v>1.0677534691808881</v>
      </c>
      <c r="AG161">
        <f t="shared" si="25"/>
        <v>1.655137883941264</v>
      </c>
      <c r="AH161">
        <f t="shared" si="26"/>
        <v>2.291919835374912</v>
      </c>
      <c r="AI161">
        <f t="shared" si="27"/>
        <v>1.14389909725731</v>
      </c>
      <c r="AJ161">
        <f t="shared" si="28"/>
        <v>56.593000864081951</v>
      </c>
      <c r="AK161">
        <f t="shared" si="29"/>
        <v>2.7096416256233931</v>
      </c>
      <c r="AL161">
        <f t="shared" si="30"/>
        <v>1.245964220825664</v>
      </c>
      <c r="AM161">
        <f t="shared" si="31"/>
        <v>0.37104253922764802</v>
      </c>
    </row>
    <row r="162" spans="1:39" x14ac:dyDescent="0.2">
      <c r="A162">
        <v>1.655137883941264</v>
      </c>
      <c r="AD162">
        <v>63.548360104279801</v>
      </c>
      <c r="AE162">
        <f t="shared" si="23"/>
        <v>1.0677534691808881</v>
      </c>
      <c r="AF162">
        <f t="shared" si="24"/>
        <v>1.655137883941264</v>
      </c>
      <c r="AG162">
        <f t="shared" si="25"/>
        <v>2.291919835374912</v>
      </c>
      <c r="AH162">
        <f t="shared" si="26"/>
        <v>1.14389909725731</v>
      </c>
      <c r="AI162">
        <f t="shared" si="27"/>
        <v>56.593000864081951</v>
      </c>
      <c r="AJ162">
        <f t="shared" si="28"/>
        <v>2.7096416256233931</v>
      </c>
      <c r="AK162">
        <f t="shared" si="29"/>
        <v>1.245964220825664</v>
      </c>
      <c r="AL162">
        <f t="shared" si="30"/>
        <v>0.37104253922764802</v>
      </c>
      <c r="AM162">
        <f t="shared" si="31"/>
        <v>1.2279403087528999E-2</v>
      </c>
    </row>
    <row r="163" spans="1:39" x14ac:dyDescent="0.2">
      <c r="A163">
        <v>2.291919835374912</v>
      </c>
      <c r="AD163">
        <v>1.0677534691808881</v>
      </c>
      <c r="AE163">
        <f t="shared" si="23"/>
        <v>1.655137883941264</v>
      </c>
      <c r="AF163">
        <f t="shared" si="24"/>
        <v>2.291919835374912</v>
      </c>
      <c r="AG163">
        <f t="shared" si="25"/>
        <v>1.14389909725731</v>
      </c>
      <c r="AH163">
        <f t="shared" si="26"/>
        <v>56.593000864081951</v>
      </c>
      <c r="AI163">
        <f t="shared" si="27"/>
        <v>2.7096416256233931</v>
      </c>
      <c r="AJ163">
        <f t="shared" si="28"/>
        <v>1.245964220825664</v>
      </c>
      <c r="AK163">
        <f t="shared" si="29"/>
        <v>0.37104253922764802</v>
      </c>
      <c r="AL163">
        <f t="shared" si="30"/>
        <v>1.2279403087528999E-2</v>
      </c>
      <c r="AM163">
        <f t="shared" si="31"/>
        <v>0.62348047260788897</v>
      </c>
    </row>
    <row r="164" spans="1:39" x14ac:dyDescent="0.2">
      <c r="A164">
        <v>1.14389909725731</v>
      </c>
      <c r="AD164">
        <v>1.655137883941264</v>
      </c>
      <c r="AE164">
        <f t="shared" si="23"/>
        <v>2.291919835374912</v>
      </c>
      <c r="AF164">
        <f t="shared" si="24"/>
        <v>1.14389909725731</v>
      </c>
      <c r="AG164">
        <f t="shared" si="25"/>
        <v>56.593000864081951</v>
      </c>
      <c r="AH164">
        <f t="shared" si="26"/>
        <v>2.7096416256233931</v>
      </c>
      <c r="AI164">
        <f t="shared" si="27"/>
        <v>1.245964220825664</v>
      </c>
      <c r="AJ164">
        <f t="shared" si="28"/>
        <v>0.37104253922764802</v>
      </c>
      <c r="AK164">
        <f t="shared" si="29"/>
        <v>1.2279403087528999E-2</v>
      </c>
      <c r="AL164">
        <f t="shared" si="30"/>
        <v>0.62348047260788897</v>
      </c>
      <c r="AM164">
        <f t="shared" si="31"/>
        <v>0.188148479895038</v>
      </c>
    </row>
    <row r="165" spans="1:39" x14ac:dyDescent="0.2">
      <c r="A165">
        <v>56.593000864081951</v>
      </c>
      <c r="AD165">
        <v>2.291919835374912</v>
      </c>
      <c r="AE165">
        <f t="shared" si="23"/>
        <v>1.14389909725731</v>
      </c>
      <c r="AF165">
        <f t="shared" si="24"/>
        <v>56.593000864081951</v>
      </c>
      <c r="AG165">
        <f t="shared" si="25"/>
        <v>2.7096416256233931</v>
      </c>
      <c r="AH165">
        <f t="shared" si="26"/>
        <v>1.245964220825664</v>
      </c>
      <c r="AI165">
        <f t="shared" si="27"/>
        <v>0.37104253922764802</v>
      </c>
      <c r="AJ165">
        <f t="shared" si="28"/>
        <v>1.2279403087528999E-2</v>
      </c>
      <c r="AK165">
        <f t="shared" si="29"/>
        <v>0.62348047260788897</v>
      </c>
      <c r="AL165">
        <f t="shared" si="30"/>
        <v>0.188148479895038</v>
      </c>
      <c r="AM165">
        <f t="shared" si="31"/>
        <v>1.335549191278909</v>
      </c>
    </row>
    <row r="166" spans="1:39" x14ac:dyDescent="0.2">
      <c r="A166">
        <v>2.7096416256233931</v>
      </c>
      <c r="AD166">
        <v>1.14389909725731</v>
      </c>
      <c r="AE166">
        <f t="shared" si="23"/>
        <v>56.593000864081951</v>
      </c>
      <c r="AF166">
        <f t="shared" si="24"/>
        <v>2.7096416256233931</v>
      </c>
      <c r="AG166">
        <f t="shared" si="25"/>
        <v>1.245964220825664</v>
      </c>
      <c r="AH166">
        <f t="shared" si="26"/>
        <v>0.37104253922764802</v>
      </c>
      <c r="AI166">
        <f t="shared" si="27"/>
        <v>1.2279403087528999E-2</v>
      </c>
      <c r="AJ166">
        <f t="shared" si="28"/>
        <v>0.62348047260788897</v>
      </c>
      <c r="AK166">
        <f t="shared" si="29"/>
        <v>0.188148479895038</v>
      </c>
      <c r="AL166">
        <f t="shared" si="30"/>
        <v>1.335549191278909</v>
      </c>
      <c r="AM166">
        <f t="shared" si="31"/>
        <v>0.49675301065190702</v>
      </c>
    </row>
    <row r="167" spans="1:39" x14ac:dyDescent="0.2">
      <c r="A167">
        <v>1.245964220825664</v>
      </c>
      <c r="AD167">
        <v>56.593000864081951</v>
      </c>
      <c r="AE167">
        <f t="shared" si="23"/>
        <v>2.7096416256233931</v>
      </c>
      <c r="AF167">
        <f t="shared" si="24"/>
        <v>1.245964220825664</v>
      </c>
      <c r="AG167">
        <f t="shared" si="25"/>
        <v>0.37104253922764802</v>
      </c>
      <c r="AH167">
        <f t="shared" si="26"/>
        <v>1.2279403087528999E-2</v>
      </c>
      <c r="AI167">
        <f t="shared" si="27"/>
        <v>0.62348047260788897</v>
      </c>
      <c r="AJ167">
        <f t="shared" si="28"/>
        <v>0.188148479895038</v>
      </c>
      <c r="AK167">
        <f t="shared" si="29"/>
        <v>1.335549191278909</v>
      </c>
      <c r="AL167">
        <f t="shared" si="30"/>
        <v>0.49675301065190702</v>
      </c>
      <c r="AM167">
        <f t="shared" si="31"/>
        <v>2.0242117017695258</v>
      </c>
    </row>
    <row r="168" spans="1:39" x14ac:dyDescent="0.2">
      <c r="A168">
        <v>0.37104253922764802</v>
      </c>
      <c r="AD168">
        <v>2.7096416256233931</v>
      </c>
      <c r="AE168">
        <f t="shared" si="23"/>
        <v>1.245964220825664</v>
      </c>
      <c r="AF168">
        <f t="shared" si="24"/>
        <v>0.37104253922764802</v>
      </c>
      <c r="AG168">
        <f t="shared" si="25"/>
        <v>1.2279403087528999E-2</v>
      </c>
      <c r="AH168">
        <f t="shared" si="26"/>
        <v>0.62348047260788897</v>
      </c>
      <c r="AI168">
        <f t="shared" si="27"/>
        <v>0.188148479895038</v>
      </c>
      <c r="AJ168">
        <f t="shared" si="28"/>
        <v>1.335549191278909</v>
      </c>
      <c r="AK168">
        <f t="shared" si="29"/>
        <v>0.49675301065190702</v>
      </c>
      <c r="AL168">
        <f t="shared" si="30"/>
        <v>2.0242117017695258</v>
      </c>
      <c r="AM168">
        <f t="shared" si="31"/>
        <v>10.780061048480331</v>
      </c>
    </row>
    <row r="169" spans="1:39" x14ac:dyDescent="0.2">
      <c r="A169">
        <v>1.2279403087528999E-2</v>
      </c>
      <c r="AD169">
        <v>1.245964220825664</v>
      </c>
      <c r="AE169">
        <f t="shared" si="23"/>
        <v>0.37104253922764802</v>
      </c>
      <c r="AF169">
        <f t="shared" si="24"/>
        <v>1.2279403087528999E-2</v>
      </c>
      <c r="AG169">
        <f t="shared" si="25"/>
        <v>0.62348047260788897</v>
      </c>
      <c r="AH169">
        <f t="shared" si="26"/>
        <v>0.188148479895038</v>
      </c>
      <c r="AI169">
        <f t="shared" si="27"/>
        <v>1.335549191278909</v>
      </c>
      <c r="AJ169">
        <f t="shared" si="28"/>
        <v>0.49675301065190702</v>
      </c>
      <c r="AK169">
        <f t="shared" si="29"/>
        <v>2.0242117017695258</v>
      </c>
      <c r="AL169">
        <f t="shared" si="30"/>
        <v>10.780061048480331</v>
      </c>
      <c r="AM169">
        <f t="shared" si="31"/>
        <v>3.042353790808745</v>
      </c>
    </row>
    <row r="170" spans="1:39" x14ac:dyDescent="0.2">
      <c r="A170">
        <v>0.62348047260788897</v>
      </c>
      <c r="AD170">
        <v>0.37104253922764802</v>
      </c>
      <c r="AE170">
        <f t="shared" si="23"/>
        <v>1.2279403087528999E-2</v>
      </c>
      <c r="AF170">
        <f t="shared" si="24"/>
        <v>0.62348047260788897</v>
      </c>
      <c r="AG170">
        <f t="shared" si="25"/>
        <v>0.188148479895038</v>
      </c>
      <c r="AH170">
        <f t="shared" si="26"/>
        <v>1.335549191278909</v>
      </c>
      <c r="AI170">
        <f t="shared" si="27"/>
        <v>0.49675301065190702</v>
      </c>
      <c r="AJ170">
        <f t="shared" si="28"/>
        <v>2.0242117017695258</v>
      </c>
      <c r="AK170">
        <f t="shared" si="29"/>
        <v>10.780061048480331</v>
      </c>
      <c r="AL170">
        <f t="shared" si="30"/>
        <v>3.042353790808745</v>
      </c>
      <c r="AM170">
        <f t="shared" si="31"/>
        <v>0.47983066581927603</v>
      </c>
    </row>
    <row r="171" spans="1:39" x14ac:dyDescent="0.2">
      <c r="A171">
        <v>0.188148479895038</v>
      </c>
      <c r="AD171">
        <v>1.2279403087528999E-2</v>
      </c>
      <c r="AE171">
        <f t="shared" si="23"/>
        <v>0.62348047260788897</v>
      </c>
      <c r="AF171">
        <f t="shared" si="24"/>
        <v>0.188148479895038</v>
      </c>
      <c r="AG171">
        <f t="shared" si="25"/>
        <v>1.335549191278909</v>
      </c>
      <c r="AH171">
        <f t="shared" si="26"/>
        <v>0.49675301065190702</v>
      </c>
      <c r="AI171">
        <f t="shared" si="27"/>
        <v>2.0242117017695258</v>
      </c>
      <c r="AJ171">
        <f t="shared" si="28"/>
        <v>10.780061048480331</v>
      </c>
      <c r="AK171">
        <f t="shared" si="29"/>
        <v>3.042353790808745</v>
      </c>
      <c r="AL171">
        <f t="shared" si="30"/>
        <v>0.47983066581927603</v>
      </c>
      <c r="AM171">
        <f t="shared" si="31"/>
        <v>0.65944486836340599</v>
      </c>
    </row>
    <row r="172" spans="1:39" x14ac:dyDescent="0.2">
      <c r="A172">
        <v>1.335549191278909</v>
      </c>
      <c r="AD172">
        <v>0.62348047260788897</v>
      </c>
      <c r="AE172">
        <f t="shared" si="23"/>
        <v>0.188148479895038</v>
      </c>
      <c r="AF172">
        <f t="shared" si="24"/>
        <v>1.335549191278909</v>
      </c>
      <c r="AG172">
        <f t="shared" si="25"/>
        <v>0.49675301065190702</v>
      </c>
      <c r="AH172">
        <f t="shared" si="26"/>
        <v>2.0242117017695258</v>
      </c>
      <c r="AI172">
        <f t="shared" si="27"/>
        <v>10.780061048480331</v>
      </c>
      <c r="AJ172">
        <f t="shared" si="28"/>
        <v>3.042353790808745</v>
      </c>
      <c r="AK172">
        <f t="shared" si="29"/>
        <v>0.47983066581927603</v>
      </c>
      <c r="AL172">
        <f t="shared" si="30"/>
        <v>0.65944486836340599</v>
      </c>
      <c r="AM172">
        <f t="shared" si="31"/>
        <v>129.82430671528081</v>
      </c>
    </row>
    <row r="173" spans="1:39" x14ac:dyDescent="0.2">
      <c r="A173">
        <v>0.49675301065190702</v>
      </c>
      <c r="AD173">
        <v>0.188148479895038</v>
      </c>
      <c r="AE173">
        <f t="shared" si="23"/>
        <v>1.335549191278909</v>
      </c>
      <c r="AF173">
        <f t="shared" si="24"/>
        <v>0.49675301065190702</v>
      </c>
      <c r="AG173">
        <f t="shared" si="25"/>
        <v>2.0242117017695258</v>
      </c>
      <c r="AH173">
        <f t="shared" si="26"/>
        <v>10.780061048480331</v>
      </c>
      <c r="AI173">
        <f t="shared" si="27"/>
        <v>3.042353790808745</v>
      </c>
      <c r="AJ173">
        <f t="shared" si="28"/>
        <v>0.47983066581927603</v>
      </c>
      <c r="AK173">
        <f t="shared" si="29"/>
        <v>0.65944486836340599</v>
      </c>
      <c r="AL173">
        <f t="shared" si="30"/>
        <v>129.82430671528081</v>
      </c>
      <c r="AM173">
        <f t="shared" si="31"/>
        <v>3.1671033590047699</v>
      </c>
    </row>
    <row r="174" spans="1:39" x14ac:dyDescent="0.2">
      <c r="A174">
        <v>2.0242117017695258</v>
      </c>
      <c r="AD174">
        <v>1.335549191278909</v>
      </c>
      <c r="AE174">
        <f t="shared" si="23"/>
        <v>0.49675301065190702</v>
      </c>
      <c r="AF174">
        <f t="shared" si="24"/>
        <v>2.0242117017695258</v>
      </c>
      <c r="AG174">
        <f t="shared" si="25"/>
        <v>10.780061048480331</v>
      </c>
      <c r="AH174">
        <f t="shared" si="26"/>
        <v>3.042353790808745</v>
      </c>
      <c r="AI174">
        <f t="shared" si="27"/>
        <v>0.47983066581927603</v>
      </c>
      <c r="AJ174">
        <f t="shared" si="28"/>
        <v>0.65944486836340599</v>
      </c>
      <c r="AK174">
        <f t="shared" si="29"/>
        <v>129.82430671528081</v>
      </c>
      <c r="AL174">
        <f t="shared" si="30"/>
        <v>3.1671033590047699</v>
      </c>
      <c r="AM174">
        <f t="shared" si="31"/>
        <v>3.0965391220783411</v>
      </c>
    </row>
    <row r="175" spans="1:39" x14ac:dyDescent="0.2">
      <c r="A175">
        <v>10.780061048480331</v>
      </c>
      <c r="AD175">
        <v>0.49675301065190702</v>
      </c>
      <c r="AE175">
        <f t="shared" si="23"/>
        <v>2.0242117017695258</v>
      </c>
      <c r="AF175">
        <f t="shared" si="24"/>
        <v>10.780061048480331</v>
      </c>
      <c r="AG175">
        <f t="shared" si="25"/>
        <v>3.042353790808745</v>
      </c>
      <c r="AH175">
        <f t="shared" si="26"/>
        <v>0.47983066581927603</v>
      </c>
      <c r="AI175">
        <f t="shared" si="27"/>
        <v>0.65944486836340599</v>
      </c>
      <c r="AJ175">
        <f t="shared" si="28"/>
        <v>129.82430671528081</v>
      </c>
      <c r="AK175">
        <f t="shared" si="29"/>
        <v>3.1671033590047699</v>
      </c>
      <c r="AL175">
        <f t="shared" si="30"/>
        <v>3.0965391220783411</v>
      </c>
      <c r="AM175">
        <f t="shared" si="31"/>
        <v>1.62475123428548</v>
      </c>
    </row>
    <row r="176" spans="1:39" x14ac:dyDescent="0.2">
      <c r="A176">
        <v>3.042353790808745</v>
      </c>
      <c r="AD176">
        <v>2.0242117017695258</v>
      </c>
      <c r="AE176">
        <f t="shared" si="23"/>
        <v>10.780061048480331</v>
      </c>
      <c r="AF176">
        <f t="shared" si="24"/>
        <v>3.042353790808745</v>
      </c>
      <c r="AG176">
        <f t="shared" si="25"/>
        <v>0.47983066581927603</v>
      </c>
      <c r="AH176">
        <f t="shared" si="26"/>
        <v>0.65944486836340599</v>
      </c>
      <c r="AI176">
        <f t="shared" si="27"/>
        <v>129.82430671528081</v>
      </c>
      <c r="AJ176">
        <f t="shared" si="28"/>
        <v>3.1671033590047699</v>
      </c>
      <c r="AK176">
        <f t="shared" si="29"/>
        <v>3.0965391220783411</v>
      </c>
      <c r="AL176">
        <f t="shared" si="30"/>
        <v>1.62475123428548</v>
      </c>
      <c r="AM176">
        <f t="shared" si="31"/>
        <v>4.3111769910623634</v>
      </c>
    </row>
    <row r="177" spans="1:39" x14ac:dyDescent="0.2">
      <c r="A177">
        <v>0.47983066581927603</v>
      </c>
      <c r="AD177">
        <v>10.780061048480331</v>
      </c>
      <c r="AE177">
        <f t="shared" si="23"/>
        <v>3.042353790808745</v>
      </c>
      <c r="AF177">
        <f t="shared" si="24"/>
        <v>0.47983066581927603</v>
      </c>
      <c r="AG177">
        <f t="shared" si="25"/>
        <v>0.65944486836340599</v>
      </c>
      <c r="AH177">
        <f t="shared" si="26"/>
        <v>129.82430671528081</v>
      </c>
      <c r="AI177">
        <f t="shared" si="27"/>
        <v>3.1671033590047699</v>
      </c>
      <c r="AJ177">
        <f t="shared" si="28"/>
        <v>3.0965391220783411</v>
      </c>
      <c r="AK177">
        <f t="shared" si="29"/>
        <v>1.62475123428548</v>
      </c>
      <c r="AL177">
        <f t="shared" si="30"/>
        <v>4.3111769910623634</v>
      </c>
      <c r="AM177">
        <f t="shared" si="31"/>
        <v>5.2156198568030501</v>
      </c>
    </row>
    <row r="178" spans="1:39" x14ac:dyDescent="0.2">
      <c r="A178">
        <v>0.65944486836340599</v>
      </c>
      <c r="AD178">
        <v>3.042353790808745</v>
      </c>
      <c r="AE178">
        <f t="shared" si="23"/>
        <v>0.47983066581927603</v>
      </c>
      <c r="AF178">
        <f t="shared" si="24"/>
        <v>0.65944486836340599</v>
      </c>
      <c r="AG178">
        <f t="shared" si="25"/>
        <v>129.82430671528081</v>
      </c>
      <c r="AH178">
        <f t="shared" si="26"/>
        <v>3.1671033590047699</v>
      </c>
      <c r="AI178">
        <f t="shared" si="27"/>
        <v>3.0965391220783411</v>
      </c>
      <c r="AJ178">
        <f t="shared" si="28"/>
        <v>1.62475123428548</v>
      </c>
      <c r="AK178">
        <f t="shared" si="29"/>
        <v>4.3111769910623634</v>
      </c>
      <c r="AL178">
        <f t="shared" si="30"/>
        <v>5.2156198568030501</v>
      </c>
      <c r="AM178">
        <f t="shared" si="31"/>
        <v>8.9418684513196229</v>
      </c>
    </row>
    <row r="179" spans="1:39" x14ac:dyDescent="0.2">
      <c r="A179">
        <v>129.82430671528081</v>
      </c>
      <c r="AD179">
        <v>0.47983066581927603</v>
      </c>
      <c r="AE179">
        <f t="shared" si="23"/>
        <v>0.65944486836340599</v>
      </c>
      <c r="AF179">
        <f t="shared" si="24"/>
        <v>129.82430671528081</v>
      </c>
      <c r="AG179">
        <f t="shared" si="25"/>
        <v>3.1671033590047699</v>
      </c>
      <c r="AH179">
        <f t="shared" si="26"/>
        <v>3.0965391220783411</v>
      </c>
      <c r="AI179">
        <f t="shared" si="27"/>
        <v>1.62475123428548</v>
      </c>
      <c r="AJ179">
        <f t="shared" si="28"/>
        <v>4.3111769910623634</v>
      </c>
      <c r="AK179">
        <f t="shared" si="29"/>
        <v>5.2156198568030501</v>
      </c>
      <c r="AL179">
        <f t="shared" si="30"/>
        <v>8.9418684513196229</v>
      </c>
      <c r="AM179">
        <f t="shared" si="31"/>
        <v>1.2927354514162059</v>
      </c>
    </row>
    <row r="180" spans="1:39" x14ac:dyDescent="0.2">
      <c r="A180">
        <v>3.1671033590047699</v>
      </c>
      <c r="AD180">
        <v>0.65944486836340599</v>
      </c>
      <c r="AE180">
        <f t="shared" si="23"/>
        <v>129.82430671528081</v>
      </c>
      <c r="AF180">
        <f t="shared" si="24"/>
        <v>3.1671033590047699</v>
      </c>
      <c r="AG180">
        <f t="shared" si="25"/>
        <v>3.0965391220783411</v>
      </c>
      <c r="AH180">
        <f t="shared" si="26"/>
        <v>1.62475123428548</v>
      </c>
      <c r="AI180">
        <f t="shared" si="27"/>
        <v>4.3111769910623634</v>
      </c>
      <c r="AJ180">
        <f t="shared" si="28"/>
        <v>5.2156198568030501</v>
      </c>
      <c r="AK180">
        <f t="shared" si="29"/>
        <v>8.9418684513196229</v>
      </c>
      <c r="AL180">
        <f t="shared" si="30"/>
        <v>1.2927354514162059</v>
      </c>
      <c r="AM180">
        <f t="shared" si="31"/>
        <v>10.864830015148581</v>
      </c>
    </row>
    <row r="181" spans="1:39" x14ac:dyDescent="0.2">
      <c r="A181">
        <v>3.0965391220783411</v>
      </c>
      <c r="AD181">
        <v>129.82430671528081</v>
      </c>
      <c r="AE181">
        <f t="shared" si="23"/>
        <v>3.1671033590047699</v>
      </c>
      <c r="AF181">
        <f t="shared" si="24"/>
        <v>3.0965391220783411</v>
      </c>
      <c r="AG181">
        <f t="shared" si="25"/>
        <v>1.62475123428548</v>
      </c>
      <c r="AH181">
        <f t="shared" si="26"/>
        <v>4.3111769910623634</v>
      </c>
      <c r="AI181">
        <f t="shared" si="27"/>
        <v>5.2156198568030501</v>
      </c>
      <c r="AJ181">
        <f t="shared" si="28"/>
        <v>8.9418684513196229</v>
      </c>
      <c r="AK181">
        <f t="shared" si="29"/>
        <v>1.2927354514162059</v>
      </c>
      <c r="AL181">
        <f t="shared" si="30"/>
        <v>10.864830015148581</v>
      </c>
      <c r="AM181">
        <f t="shared" si="31"/>
        <v>0.26382483683320201</v>
      </c>
    </row>
    <row r="182" spans="1:39" x14ac:dyDescent="0.2">
      <c r="A182">
        <v>1.62475123428548</v>
      </c>
      <c r="AD182">
        <v>3.1671033590047699</v>
      </c>
      <c r="AE182">
        <f t="shared" si="23"/>
        <v>3.0965391220783411</v>
      </c>
      <c r="AF182">
        <f t="shared" si="24"/>
        <v>1.62475123428548</v>
      </c>
      <c r="AG182">
        <f t="shared" si="25"/>
        <v>4.3111769910623634</v>
      </c>
      <c r="AH182">
        <f t="shared" si="26"/>
        <v>5.2156198568030501</v>
      </c>
      <c r="AI182">
        <f t="shared" si="27"/>
        <v>8.9418684513196229</v>
      </c>
      <c r="AJ182">
        <f t="shared" si="28"/>
        <v>1.2927354514162059</v>
      </c>
      <c r="AK182">
        <f t="shared" si="29"/>
        <v>10.864830015148581</v>
      </c>
      <c r="AL182">
        <f t="shared" si="30"/>
        <v>0.26382483683320201</v>
      </c>
      <c r="AM182">
        <f t="shared" si="31"/>
        <v>1.1593184105624379</v>
      </c>
    </row>
    <row r="183" spans="1:39" x14ac:dyDescent="0.2">
      <c r="A183">
        <v>4.3111769910623634</v>
      </c>
      <c r="AD183">
        <v>3.0965391220783411</v>
      </c>
      <c r="AE183">
        <f t="shared" si="23"/>
        <v>1.62475123428548</v>
      </c>
      <c r="AF183">
        <f t="shared" si="24"/>
        <v>4.3111769910623634</v>
      </c>
      <c r="AG183">
        <f t="shared" si="25"/>
        <v>5.2156198568030501</v>
      </c>
      <c r="AH183">
        <f t="shared" si="26"/>
        <v>8.9418684513196229</v>
      </c>
      <c r="AI183">
        <f t="shared" si="27"/>
        <v>1.2927354514162059</v>
      </c>
      <c r="AJ183">
        <f t="shared" si="28"/>
        <v>10.864830015148581</v>
      </c>
      <c r="AK183">
        <f t="shared" si="29"/>
        <v>0.26382483683320201</v>
      </c>
      <c r="AL183">
        <f t="shared" si="30"/>
        <v>1.1593184105624379</v>
      </c>
      <c r="AM183">
        <f t="shared" si="31"/>
        <v>90.992562702100827</v>
      </c>
    </row>
    <row r="184" spans="1:39" x14ac:dyDescent="0.2">
      <c r="A184">
        <v>5.2156198568030501</v>
      </c>
      <c r="AD184">
        <v>1.62475123428548</v>
      </c>
      <c r="AE184">
        <f t="shared" si="23"/>
        <v>4.3111769910623634</v>
      </c>
      <c r="AF184">
        <f t="shared" si="24"/>
        <v>5.2156198568030501</v>
      </c>
      <c r="AG184">
        <f t="shared" si="25"/>
        <v>8.9418684513196229</v>
      </c>
      <c r="AH184">
        <f t="shared" si="26"/>
        <v>1.2927354514162059</v>
      </c>
      <c r="AI184">
        <f t="shared" si="27"/>
        <v>10.864830015148581</v>
      </c>
      <c r="AJ184">
        <f t="shared" si="28"/>
        <v>0.26382483683320201</v>
      </c>
      <c r="AK184">
        <f t="shared" si="29"/>
        <v>1.1593184105624379</v>
      </c>
      <c r="AL184">
        <f t="shared" si="30"/>
        <v>90.992562702100827</v>
      </c>
      <c r="AM184">
        <f t="shared" si="31"/>
        <v>24.325628566312819</v>
      </c>
    </row>
    <row r="185" spans="1:39" x14ac:dyDescent="0.2">
      <c r="A185">
        <v>8.9418684513196229</v>
      </c>
      <c r="AD185">
        <v>4.3111769910623634</v>
      </c>
      <c r="AE185">
        <f t="shared" si="23"/>
        <v>5.2156198568030501</v>
      </c>
      <c r="AF185">
        <f t="shared" si="24"/>
        <v>8.9418684513196229</v>
      </c>
      <c r="AG185">
        <f t="shared" si="25"/>
        <v>1.2927354514162059</v>
      </c>
      <c r="AH185">
        <f t="shared" si="26"/>
        <v>10.864830015148581</v>
      </c>
      <c r="AI185">
        <f t="shared" si="27"/>
        <v>0.26382483683320201</v>
      </c>
      <c r="AJ185">
        <f t="shared" si="28"/>
        <v>1.1593184105624379</v>
      </c>
      <c r="AK185">
        <f t="shared" si="29"/>
        <v>90.992562702100827</v>
      </c>
      <c r="AL185">
        <f t="shared" si="30"/>
        <v>24.325628566312819</v>
      </c>
      <c r="AM185">
        <f t="shared" si="31"/>
        <v>1.150442103868456</v>
      </c>
    </row>
    <row r="186" spans="1:39" x14ac:dyDescent="0.2">
      <c r="A186">
        <v>1.2927354514162059</v>
      </c>
      <c r="AD186">
        <v>5.2156198568030501</v>
      </c>
      <c r="AE186">
        <f t="shared" si="23"/>
        <v>8.9418684513196229</v>
      </c>
      <c r="AF186">
        <f t="shared" si="24"/>
        <v>1.2927354514162059</v>
      </c>
      <c r="AG186">
        <f t="shared" si="25"/>
        <v>10.864830015148581</v>
      </c>
      <c r="AH186">
        <f t="shared" si="26"/>
        <v>0.26382483683320201</v>
      </c>
      <c r="AI186">
        <f t="shared" si="27"/>
        <v>1.1593184105624379</v>
      </c>
      <c r="AJ186">
        <f t="shared" si="28"/>
        <v>90.992562702100827</v>
      </c>
      <c r="AK186">
        <f t="shared" si="29"/>
        <v>24.325628566312819</v>
      </c>
      <c r="AL186">
        <f t="shared" si="30"/>
        <v>1.150442103868456</v>
      </c>
      <c r="AM186">
        <f t="shared" si="31"/>
        <v>4.86161865042624</v>
      </c>
    </row>
    <row r="187" spans="1:39" x14ac:dyDescent="0.2">
      <c r="A187">
        <v>10.864830015148581</v>
      </c>
      <c r="AD187">
        <v>8.9418684513196229</v>
      </c>
      <c r="AE187">
        <f t="shared" si="23"/>
        <v>1.2927354514162059</v>
      </c>
      <c r="AF187">
        <f t="shared" si="24"/>
        <v>10.864830015148581</v>
      </c>
      <c r="AG187">
        <f t="shared" si="25"/>
        <v>0.26382483683320201</v>
      </c>
      <c r="AH187">
        <f t="shared" si="26"/>
        <v>1.1593184105624379</v>
      </c>
      <c r="AI187">
        <f t="shared" si="27"/>
        <v>90.992562702100827</v>
      </c>
      <c r="AJ187">
        <f t="shared" si="28"/>
        <v>24.325628566312819</v>
      </c>
      <c r="AK187">
        <f t="shared" si="29"/>
        <v>1.150442103868456</v>
      </c>
      <c r="AL187">
        <f t="shared" si="30"/>
        <v>4.86161865042624</v>
      </c>
      <c r="AM187">
        <f t="shared" si="31"/>
        <v>0.76254508658443698</v>
      </c>
    </row>
    <row r="188" spans="1:39" x14ac:dyDescent="0.2">
      <c r="A188">
        <v>0.26382483683320201</v>
      </c>
      <c r="AD188">
        <v>1.2927354514162059</v>
      </c>
      <c r="AE188">
        <f t="shared" si="23"/>
        <v>10.864830015148581</v>
      </c>
      <c r="AF188">
        <f t="shared" si="24"/>
        <v>0.26382483683320201</v>
      </c>
      <c r="AG188">
        <f t="shared" si="25"/>
        <v>1.1593184105624379</v>
      </c>
      <c r="AH188">
        <f t="shared" si="26"/>
        <v>90.992562702100827</v>
      </c>
      <c r="AI188">
        <f t="shared" si="27"/>
        <v>24.325628566312819</v>
      </c>
      <c r="AJ188">
        <f t="shared" si="28"/>
        <v>1.150442103868456</v>
      </c>
      <c r="AK188">
        <f t="shared" si="29"/>
        <v>4.86161865042624</v>
      </c>
      <c r="AL188">
        <f t="shared" si="30"/>
        <v>0.76254508658443698</v>
      </c>
      <c r="AM188">
        <f t="shared" si="31"/>
        <v>0.98236097774847797</v>
      </c>
    </row>
    <row r="189" spans="1:39" x14ac:dyDescent="0.2">
      <c r="A189">
        <v>1.1593184105624379</v>
      </c>
      <c r="AD189">
        <v>10.864830015148581</v>
      </c>
      <c r="AE189">
        <f t="shared" si="23"/>
        <v>0.26382483683320201</v>
      </c>
      <c r="AF189">
        <f t="shared" si="24"/>
        <v>1.1593184105624379</v>
      </c>
      <c r="AG189">
        <f t="shared" si="25"/>
        <v>90.992562702100827</v>
      </c>
      <c r="AH189">
        <f t="shared" si="26"/>
        <v>24.325628566312819</v>
      </c>
      <c r="AI189">
        <f t="shared" si="27"/>
        <v>1.150442103868456</v>
      </c>
      <c r="AJ189">
        <f t="shared" si="28"/>
        <v>4.86161865042624</v>
      </c>
      <c r="AK189">
        <f t="shared" si="29"/>
        <v>0.76254508658443698</v>
      </c>
      <c r="AL189">
        <f t="shared" si="30"/>
        <v>0.98236097774847797</v>
      </c>
      <c r="AM189">
        <f t="shared" si="31"/>
        <v>2.7943874070586912</v>
      </c>
    </row>
    <row r="190" spans="1:39" x14ac:dyDescent="0.2">
      <c r="A190">
        <v>90.992562702100827</v>
      </c>
      <c r="AD190">
        <v>0.26382483683320201</v>
      </c>
      <c r="AE190">
        <f t="shared" si="23"/>
        <v>1.1593184105624379</v>
      </c>
      <c r="AF190">
        <f t="shared" si="24"/>
        <v>90.992562702100827</v>
      </c>
      <c r="AG190">
        <f t="shared" si="25"/>
        <v>24.325628566312819</v>
      </c>
      <c r="AH190">
        <f t="shared" si="26"/>
        <v>1.150442103868456</v>
      </c>
      <c r="AI190">
        <f t="shared" si="27"/>
        <v>4.86161865042624</v>
      </c>
      <c r="AJ190">
        <f t="shared" si="28"/>
        <v>0.76254508658443698</v>
      </c>
      <c r="AK190">
        <f t="shared" si="29"/>
        <v>0.98236097774847797</v>
      </c>
      <c r="AL190">
        <f t="shared" si="30"/>
        <v>2.7943874070586912</v>
      </c>
      <c r="AM190">
        <f t="shared" si="31"/>
        <v>3.7544850157577092</v>
      </c>
    </row>
    <row r="191" spans="1:39" x14ac:dyDescent="0.2">
      <c r="A191">
        <v>24.325628566312819</v>
      </c>
      <c r="AD191">
        <v>1.1593184105624379</v>
      </c>
      <c r="AE191">
        <f t="shared" si="23"/>
        <v>90.992562702100827</v>
      </c>
      <c r="AF191">
        <f t="shared" si="24"/>
        <v>24.325628566312819</v>
      </c>
      <c r="AG191">
        <f t="shared" si="25"/>
        <v>1.150442103868456</v>
      </c>
      <c r="AH191">
        <f t="shared" si="26"/>
        <v>4.86161865042624</v>
      </c>
      <c r="AI191">
        <f t="shared" si="27"/>
        <v>0.76254508658443698</v>
      </c>
      <c r="AJ191">
        <f t="shared" si="28"/>
        <v>0.98236097774847797</v>
      </c>
      <c r="AK191">
        <f t="shared" si="29"/>
        <v>2.7943874070586912</v>
      </c>
      <c r="AL191">
        <f t="shared" si="30"/>
        <v>3.7544850157577092</v>
      </c>
      <c r="AM191">
        <f t="shared" si="31"/>
        <v>1.9172490970418521</v>
      </c>
    </row>
    <row r="192" spans="1:39" x14ac:dyDescent="0.2">
      <c r="A192">
        <v>1.150442103868456</v>
      </c>
      <c r="AD192">
        <v>90.992562702100827</v>
      </c>
      <c r="AE192">
        <f t="shared" si="23"/>
        <v>24.325628566312819</v>
      </c>
      <c r="AF192">
        <f t="shared" si="24"/>
        <v>1.150442103868456</v>
      </c>
      <c r="AG192">
        <f t="shared" si="25"/>
        <v>4.86161865042624</v>
      </c>
      <c r="AH192">
        <f t="shared" si="26"/>
        <v>0.76254508658443698</v>
      </c>
      <c r="AI192">
        <f t="shared" si="27"/>
        <v>0.98236097774847797</v>
      </c>
      <c r="AJ192">
        <f t="shared" si="28"/>
        <v>2.7943874070586912</v>
      </c>
      <c r="AK192">
        <f t="shared" si="29"/>
        <v>3.7544850157577092</v>
      </c>
      <c r="AL192">
        <f t="shared" si="30"/>
        <v>1.9172490970418521</v>
      </c>
      <c r="AM192">
        <f t="shared" si="31"/>
        <v>3.1310280214165149</v>
      </c>
    </row>
    <row r="193" spans="1:39" x14ac:dyDescent="0.2">
      <c r="A193">
        <v>4.86161865042624</v>
      </c>
      <c r="AD193">
        <v>24.325628566312819</v>
      </c>
      <c r="AE193">
        <f t="shared" si="23"/>
        <v>1.150442103868456</v>
      </c>
      <c r="AF193">
        <f t="shared" si="24"/>
        <v>4.86161865042624</v>
      </c>
      <c r="AG193">
        <f t="shared" si="25"/>
        <v>0.76254508658443698</v>
      </c>
      <c r="AH193">
        <f t="shared" si="26"/>
        <v>0.98236097774847797</v>
      </c>
      <c r="AI193">
        <f t="shared" si="27"/>
        <v>2.7943874070586912</v>
      </c>
      <c r="AJ193">
        <f t="shared" si="28"/>
        <v>3.7544850157577092</v>
      </c>
      <c r="AK193">
        <f t="shared" si="29"/>
        <v>1.9172490970418521</v>
      </c>
      <c r="AL193">
        <f t="shared" si="30"/>
        <v>3.1310280214165149</v>
      </c>
      <c r="AM193">
        <f t="shared" si="31"/>
        <v>0.68128780318362303</v>
      </c>
    </row>
    <row r="194" spans="1:39" x14ac:dyDescent="0.2">
      <c r="A194">
        <v>0.76254508658443698</v>
      </c>
      <c r="AD194">
        <v>1.150442103868456</v>
      </c>
      <c r="AE194">
        <f t="shared" si="23"/>
        <v>4.86161865042624</v>
      </c>
      <c r="AF194">
        <f t="shared" si="24"/>
        <v>0.76254508658443698</v>
      </c>
      <c r="AG194">
        <f t="shared" si="25"/>
        <v>0.98236097774847797</v>
      </c>
      <c r="AH194">
        <f t="shared" si="26"/>
        <v>2.7943874070586912</v>
      </c>
      <c r="AI194">
        <f t="shared" si="27"/>
        <v>3.7544850157577092</v>
      </c>
      <c r="AJ194">
        <f t="shared" si="28"/>
        <v>1.9172490970418521</v>
      </c>
      <c r="AK194">
        <f t="shared" si="29"/>
        <v>3.1310280214165149</v>
      </c>
      <c r="AL194">
        <f t="shared" si="30"/>
        <v>0.68128780318362303</v>
      </c>
      <c r="AM194">
        <f t="shared" si="31"/>
        <v>4.2360337512351999E-2</v>
      </c>
    </row>
    <row r="195" spans="1:39" x14ac:dyDescent="0.2">
      <c r="A195">
        <v>0.98236097774847797</v>
      </c>
      <c r="AD195">
        <v>4.86161865042624</v>
      </c>
      <c r="AE195">
        <f t="shared" si="23"/>
        <v>0.76254508658443698</v>
      </c>
      <c r="AF195">
        <f t="shared" si="24"/>
        <v>0.98236097774847797</v>
      </c>
      <c r="AG195">
        <f t="shared" si="25"/>
        <v>2.7943874070586912</v>
      </c>
      <c r="AH195">
        <f t="shared" si="26"/>
        <v>3.7544850157577092</v>
      </c>
      <c r="AI195">
        <f t="shared" si="27"/>
        <v>1.9172490970418521</v>
      </c>
      <c r="AJ195">
        <f t="shared" si="28"/>
        <v>3.1310280214165149</v>
      </c>
      <c r="AK195">
        <f t="shared" si="29"/>
        <v>0.68128780318362303</v>
      </c>
      <c r="AL195">
        <f t="shared" si="30"/>
        <v>4.2360337512351999E-2</v>
      </c>
      <c r="AM195">
        <f t="shared" si="31"/>
        <v>1.9711021381951079</v>
      </c>
    </row>
    <row r="196" spans="1:39" x14ac:dyDescent="0.2">
      <c r="A196">
        <v>2.7943874070586912</v>
      </c>
      <c r="AD196">
        <v>0.76254508658443698</v>
      </c>
      <c r="AE196">
        <f t="shared" ref="AE196:AE259" si="32">$A195</f>
        <v>0.98236097774847797</v>
      </c>
      <c r="AF196">
        <f t="shared" si="24"/>
        <v>2.7943874070586912</v>
      </c>
      <c r="AG196">
        <f t="shared" si="25"/>
        <v>3.7544850157577092</v>
      </c>
      <c r="AH196">
        <f t="shared" si="26"/>
        <v>1.9172490970418521</v>
      </c>
      <c r="AI196">
        <f t="shared" si="27"/>
        <v>3.1310280214165149</v>
      </c>
      <c r="AJ196">
        <f t="shared" si="28"/>
        <v>0.68128780318362303</v>
      </c>
      <c r="AK196">
        <f t="shared" si="29"/>
        <v>4.2360337512351999E-2</v>
      </c>
      <c r="AL196">
        <f t="shared" si="30"/>
        <v>1.9711021381951079</v>
      </c>
      <c r="AM196">
        <f t="shared" si="31"/>
        <v>4.251725236126279</v>
      </c>
    </row>
    <row r="197" spans="1:39" x14ac:dyDescent="0.2">
      <c r="A197">
        <v>3.7544850157577092</v>
      </c>
      <c r="AD197">
        <v>0.98236097774847797</v>
      </c>
      <c r="AE197">
        <f t="shared" si="32"/>
        <v>2.7943874070586912</v>
      </c>
      <c r="AF197">
        <f t="shared" ref="AF197:AF260" si="33">$A197</f>
        <v>3.7544850157577092</v>
      </c>
      <c r="AG197">
        <f t="shared" ref="AG197:AG260" si="34">$A198</f>
        <v>1.9172490970418521</v>
      </c>
      <c r="AH197">
        <f t="shared" ref="AH197:AH260" si="35">$A199</f>
        <v>3.1310280214165149</v>
      </c>
      <c r="AI197">
        <f t="shared" ref="AI197:AI260" si="36">$A200</f>
        <v>0.68128780318362303</v>
      </c>
      <c r="AJ197">
        <f t="shared" ref="AJ197:AJ260" si="37">$A201</f>
        <v>4.2360337512351999E-2</v>
      </c>
      <c r="AK197">
        <f t="shared" ref="AK197:AK260" si="38">$A202</f>
        <v>1.9711021381951079</v>
      </c>
      <c r="AL197">
        <f t="shared" ref="AL197:AL260" si="39">$A203</f>
        <v>4.251725236126279</v>
      </c>
      <c r="AM197">
        <f t="shared" ref="AM197:AM260" si="40">$A204</f>
        <v>5.7808586335899995E-4</v>
      </c>
    </row>
    <row r="198" spans="1:39" x14ac:dyDescent="0.2">
      <c r="A198">
        <v>1.9172490970418521</v>
      </c>
      <c r="AD198">
        <v>2.7943874070586912</v>
      </c>
      <c r="AE198">
        <f t="shared" si="32"/>
        <v>3.7544850157577092</v>
      </c>
      <c r="AF198">
        <f t="shared" si="33"/>
        <v>1.9172490970418521</v>
      </c>
      <c r="AG198">
        <f t="shared" si="34"/>
        <v>3.1310280214165149</v>
      </c>
      <c r="AH198">
        <f t="shared" si="35"/>
        <v>0.68128780318362303</v>
      </c>
      <c r="AI198">
        <f t="shared" si="36"/>
        <v>4.2360337512351999E-2</v>
      </c>
      <c r="AJ198">
        <f t="shared" si="37"/>
        <v>1.9711021381951079</v>
      </c>
      <c r="AK198">
        <f t="shared" si="38"/>
        <v>4.251725236126279</v>
      </c>
      <c r="AL198">
        <f t="shared" si="39"/>
        <v>5.7808586335899995E-4</v>
      </c>
      <c r="AM198">
        <f t="shared" si="40"/>
        <v>120.75812528265411</v>
      </c>
    </row>
    <row r="199" spans="1:39" x14ac:dyDescent="0.2">
      <c r="A199">
        <v>3.1310280214165149</v>
      </c>
      <c r="AD199">
        <v>3.7544850157577092</v>
      </c>
      <c r="AE199">
        <f t="shared" si="32"/>
        <v>1.9172490970418521</v>
      </c>
      <c r="AF199">
        <f t="shared" si="33"/>
        <v>3.1310280214165149</v>
      </c>
      <c r="AG199">
        <f t="shared" si="34"/>
        <v>0.68128780318362303</v>
      </c>
      <c r="AH199">
        <f t="shared" si="35"/>
        <v>4.2360337512351999E-2</v>
      </c>
      <c r="AI199">
        <f t="shared" si="36"/>
        <v>1.9711021381951079</v>
      </c>
      <c r="AJ199">
        <f t="shared" si="37"/>
        <v>4.251725236126279</v>
      </c>
      <c r="AK199">
        <f t="shared" si="38"/>
        <v>5.7808586335899995E-4</v>
      </c>
      <c r="AL199">
        <f t="shared" si="39"/>
        <v>120.75812528265411</v>
      </c>
      <c r="AM199">
        <f t="shared" si="40"/>
        <v>2.911699652635293</v>
      </c>
    </row>
    <row r="200" spans="1:39" x14ac:dyDescent="0.2">
      <c r="A200">
        <v>0.68128780318362303</v>
      </c>
      <c r="AD200">
        <v>1.9172490970418521</v>
      </c>
      <c r="AE200">
        <f t="shared" si="32"/>
        <v>3.1310280214165149</v>
      </c>
      <c r="AF200">
        <f t="shared" si="33"/>
        <v>0.68128780318362303</v>
      </c>
      <c r="AG200">
        <f t="shared" si="34"/>
        <v>4.2360337512351999E-2</v>
      </c>
      <c r="AH200">
        <f t="shared" si="35"/>
        <v>1.9711021381951079</v>
      </c>
      <c r="AI200">
        <f t="shared" si="36"/>
        <v>4.251725236126279</v>
      </c>
      <c r="AJ200">
        <f t="shared" si="37"/>
        <v>5.7808586335899995E-4</v>
      </c>
      <c r="AK200">
        <f t="shared" si="38"/>
        <v>120.75812528265411</v>
      </c>
      <c r="AL200">
        <f t="shared" si="39"/>
        <v>2.911699652635293</v>
      </c>
      <c r="AM200">
        <f t="shared" si="40"/>
        <v>1.717089355446304</v>
      </c>
    </row>
    <row r="201" spans="1:39" x14ac:dyDescent="0.2">
      <c r="A201">
        <v>4.2360337512351999E-2</v>
      </c>
      <c r="AD201">
        <v>3.1310280214165149</v>
      </c>
      <c r="AE201">
        <f t="shared" si="32"/>
        <v>0.68128780318362303</v>
      </c>
      <c r="AF201">
        <f t="shared" si="33"/>
        <v>4.2360337512351999E-2</v>
      </c>
      <c r="AG201">
        <f t="shared" si="34"/>
        <v>1.9711021381951079</v>
      </c>
      <c r="AH201">
        <f t="shared" si="35"/>
        <v>4.251725236126279</v>
      </c>
      <c r="AI201">
        <f t="shared" si="36"/>
        <v>5.7808586335899995E-4</v>
      </c>
      <c r="AJ201">
        <f t="shared" si="37"/>
        <v>120.75812528265411</v>
      </c>
      <c r="AK201">
        <f t="shared" si="38"/>
        <v>2.911699652635293</v>
      </c>
      <c r="AL201">
        <f t="shared" si="39"/>
        <v>1.717089355446304</v>
      </c>
      <c r="AM201">
        <f t="shared" si="40"/>
        <v>144.0230792194937</v>
      </c>
    </row>
    <row r="202" spans="1:39" x14ac:dyDescent="0.2">
      <c r="A202">
        <v>1.9711021381951079</v>
      </c>
      <c r="AD202">
        <v>0.68128780318362303</v>
      </c>
      <c r="AE202">
        <f t="shared" si="32"/>
        <v>4.2360337512351999E-2</v>
      </c>
      <c r="AF202">
        <f t="shared" si="33"/>
        <v>1.9711021381951079</v>
      </c>
      <c r="AG202">
        <f t="shared" si="34"/>
        <v>4.251725236126279</v>
      </c>
      <c r="AH202">
        <f t="shared" si="35"/>
        <v>5.7808586335899995E-4</v>
      </c>
      <c r="AI202">
        <f t="shared" si="36"/>
        <v>120.75812528265411</v>
      </c>
      <c r="AJ202">
        <f t="shared" si="37"/>
        <v>2.911699652635293</v>
      </c>
      <c r="AK202">
        <f t="shared" si="38"/>
        <v>1.717089355446304</v>
      </c>
      <c r="AL202">
        <f t="shared" si="39"/>
        <v>144.0230792194937</v>
      </c>
      <c r="AM202">
        <f t="shared" si="40"/>
        <v>0.77058771933947301</v>
      </c>
    </row>
    <row r="203" spans="1:39" x14ac:dyDescent="0.2">
      <c r="A203">
        <v>4.251725236126279</v>
      </c>
      <c r="AD203">
        <v>4.2360337512351999E-2</v>
      </c>
      <c r="AE203">
        <f t="shared" si="32"/>
        <v>1.9711021381951079</v>
      </c>
      <c r="AF203">
        <f t="shared" si="33"/>
        <v>4.251725236126279</v>
      </c>
      <c r="AG203">
        <f t="shared" si="34"/>
        <v>5.7808586335899995E-4</v>
      </c>
      <c r="AH203">
        <f t="shared" si="35"/>
        <v>120.75812528265411</v>
      </c>
      <c r="AI203">
        <f t="shared" si="36"/>
        <v>2.911699652635293</v>
      </c>
      <c r="AJ203">
        <f t="shared" si="37"/>
        <v>1.717089355446304</v>
      </c>
      <c r="AK203">
        <f t="shared" si="38"/>
        <v>144.0230792194937</v>
      </c>
      <c r="AL203">
        <f t="shared" si="39"/>
        <v>0.77058771933947301</v>
      </c>
      <c r="AM203">
        <f t="shared" si="40"/>
        <v>5.6009719270227496</v>
      </c>
    </row>
    <row r="204" spans="1:39" x14ac:dyDescent="0.2">
      <c r="A204">
        <v>5.7808586335899995E-4</v>
      </c>
      <c r="AD204">
        <v>1.9711021381951079</v>
      </c>
      <c r="AE204">
        <f t="shared" si="32"/>
        <v>4.251725236126279</v>
      </c>
      <c r="AF204">
        <f t="shared" si="33"/>
        <v>5.7808586335899995E-4</v>
      </c>
      <c r="AG204">
        <f t="shared" si="34"/>
        <v>120.75812528265411</v>
      </c>
      <c r="AH204">
        <f t="shared" si="35"/>
        <v>2.911699652635293</v>
      </c>
      <c r="AI204">
        <f t="shared" si="36"/>
        <v>1.717089355446304</v>
      </c>
      <c r="AJ204">
        <f t="shared" si="37"/>
        <v>144.0230792194937</v>
      </c>
      <c r="AK204">
        <f t="shared" si="38"/>
        <v>0.77058771933947301</v>
      </c>
      <c r="AL204">
        <f t="shared" si="39"/>
        <v>5.6009719270227496</v>
      </c>
      <c r="AM204">
        <f t="shared" si="40"/>
        <v>0.16325628599408701</v>
      </c>
    </row>
    <row r="205" spans="1:39" x14ac:dyDescent="0.2">
      <c r="A205">
        <v>120.75812528265411</v>
      </c>
      <c r="AD205">
        <v>4.251725236126279</v>
      </c>
      <c r="AE205">
        <f t="shared" si="32"/>
        <v>5.7808586335899995E-4</v>
      </c>
      <c r="AF205">
        <f t="shared" si="33"/>
        <v>120.75812528265411</v>
      </c>
      <c r="AG205">
        <f t="shared" si="34"/>
        <v>2.911699652635293</v>
      </c>
      <c r="AH205">
        <f t="shared" si="35"/>
        <v>1.717089355446304</v>
      </c>
      <c r="AI205">
        <f t="shared" si="36"/>
        <v>144.0230792194937</v>
      </c>
      <c r="AJ205">
        <f t="shared" si="37"/>
        <v>0.77058771933947301</v>
      </c>
      <c r="AK205">
        <f t="shared" si="38"/>
        <v>5.6009719270227496</v>
      </c>
      <c r="AL205">
        <f t="shared" si="39"/>
        <v>0.16325628599408701</v>
      </c>
      <c r="AM205">
        <f t="shared" si="40"/>
        <v>39.053793840929039</v>
      </c>
    </row>
    <row r="206" spans="1:39" x14ac:dyDescent="0.2">
      <c r="A206">
        <v>2.911699652635293</v>
      </c>
      <c r="AD206">
        <v>5.7808586335899995E-4</v>
      </c>
      <c r="AE206">
        <f t="shared" si="32"/>
        <v>120.75812528265411</v>
      </c>
      <c r="AF206">
        <f t="shared" si="33"/>
        <v>2.911699652635293</v>
      </c>
      <c r="AG206">
        <f t="shared" si="34"/>
        <v>1.717089355446304</v>
      </c>
      <c r="AH206">
        <f t="shared" si="35"/>
        <v>144.0230792194937</v>
      </c>
      <c r="AI206">
        <f t="shared" si="36"/>
        <v>0.77058771933947301</v>
      </c>
      <c r="AJ206">
        <f t="shared" si="37"/>
        <v>5.6009719270227496</v>
      </c>
      <c r="AK206">
        <f t="shared" si="38"/>
        <v>0.16325628599408701</v>
      </c>
      <c r="AL206">
        <f t="shared" si="39"/>
        <v>39.053793840929039</v>
      </c>
      <c r="AM206">
        <f t="shared" si="40"/>
        <v>1.9311014158082631</v>
      </c>
    </row>
    <row r="207" spans="1:39" x14ac:dyDescent="0.2">
      <c r="A207">
        <v>1.717089355446304</v>
      </c>
      <c r="AD207">
        <v>120.75812528265411</v>
      </c>
      <c r="AE207">
        <f t="shared" si="32"/>
        <v>2.911699652635293</v>
      </c>
      <c r="AF207">
        <f t="shared" si="33"/>
        <v>1.717089355446304</v>
      </c>
      <c r="AG207">
        <f t="shared" si="34"/>
        <v>144.0230792194937</v>
      </c>
      <c r="AH207">
        <f t="shared" si="35"/>
        <v>0.77058771933947301</v>
      </c>
      <c r="AI207">
        <f t="shared" si="36"/>
        <v>5.6009719270227496</v>
      </c>
      <c r="AJ207">
        <f t="shared" si="37"/>
        <v>0.16325628599408701</v>
      </c>
      <c r="AK207">
        <f t="shared" si="38"/>
        <v>39.053793840929039</v>
      </c>
      <c r="AL207">
        <f t="shared" si="39"/>
        <v>1.9311014158082631</v>
      </c>
      <c r="AM207">
        <f t="shared" si="40"/>
        <v>0.73383458504978005</v>
      </c>
    </row>
    <row r="208" spans="1:39" x14ac:dyDescent="0.2">
      <c r="A208">
        <v>144.0230792194937</v>
      </c>
      <c r="AD208">
        <v>2.911699652635293</v>
      </c>
      <c r="AE208">
        <f t="shared" si="32"/>
        <v>1.717089355446304</v>
      </c>
      <c r="AF208">
        <f t="shared" si="33"/>
        <v>144.0230792194937</v>
      </c>
      <c r="AG208">
        <f t="shared" si="34"/>
        <v>0.77058771933947301</v>
      </c>
      <c r="AH208">
        <f t="shared" si="35"/>
        <v>5.6009719270227496</v>
      </c>
      <c r="AI208">
        <f t="shared" si="36"/>
        <v>0.16325628599408701</v>
      </c>
      <c r="AJ208">
        <f t="shared" si="37"/>
        <v>39.053793840929039</v>
      </c>
      <c r="AK208">
        <f t="shared" si="38"/>
        <v>1.9311014158082631</v>
      </c>
      <c r="AL208">
        <f t="shared" si="39"/>
        <v>0.73383458504978005</v>
      </c>
      <c r="AM208">
        <f t="shared" si="40"/>
        <v>1.6722752668262091</v>
      </c>
    </row>
    <row r="209" spans="1:39" x14ac:dyDescent="0.2">
      <c r="A209">
        <v>0.77058771933947301</v>
      </c>
      <c r="AD209">
        <v>1.717089355446304</v>
      </c>
      <c r="AE209">
        <f t="shared" si="32"/>
        <v>144.0230792194937</v>
      </c>
      <c r="AF209">
        <f t="shared" si="33"/>
        <v>0.77058771933947301</v>
      </c>
      <c r="AG209">
        <f t="shared" si="34"/>
        <v>5.6009719270227496</v>
      </c>
      <c r="AH209">
        <f t="shared" si="35"/>
        <v>0.16325628599408701</v>
      </c>
      <c r="AI209">
        <f t="shared" si="36"/>
        <v>39.053793840929039</v>
      </c>
      <c r="AJ209">
        <f t="shared" si="37"/>
        <v>1.9311014158082631</v>
      </c>
      <c r="AK209">
        <f t="shared" si="38"/>
        <v>0.73383458504978005</v>
      </c>
      <c r="AL209">
        <f t="shared" si="39"/>
        <v>1.6722752668262091</v>
      </c>
      <c r="AM209">
        <f t="shared" si="40"/>
        <v>2.801930745814659</v>
      </c>
    </row>
    <row r="210" spans="1:39" x14ac:dyDescent="0.2">
      <c r="A210">
        <v>5.6009719270227496</v>
      </c>
      <c r="AD210">
        <v>144.0230792194937</v>
      </c>
      <c r="AE210">
        <f t="shared" si="32"/>
        <v>0.77058771933947301</v>
      </c>
      <c r="AF210">
        <f t="shared" si="33"/>
        <v>5.6009719270227496</v>
      </c>
      <c r="AG210">
        <f t="shared" si="34"/>
        <v>0.16325628599408701</v>
      </c>
      <c r="AH210">
        <f t="shared" si="35"/>
        <v>39.053793840929039</v>
      </c>
      <c r="AI210">
        <f t="shared" si="36"/>
        <v>1.9311014158082631</v>
      </c>
      <c r="AJ210">
        <f t="shared" si="37"/>
        <v>0.73383458504978005</v>
      </c>
      <c r="AK210">
        <f t="shared" si="38"/>
        <v>1.6722752668262091</v>
      </c>
      <c r="AL210">
        <f t="shared" si="39"/>
        <v>2.801930745814659</v>
      </c>
      <c r="AM210">
        <f t="shared" si="40"/>
        <v>12.7459755210142</v>
      </c>
    </row>
    <row r="211" spans="1:39" x14ac:dyDescent="0.2">
      <c r="A211">
        <v>0.16325628599408701</v>
      </c>
      <c r="AD211">
        <v>0.77058771933947301</v>
      </c>
      <c r="AE211">
        <f t="shared" si="32"/>
        <v>5.6009719270227496</v>
      </c>
      <c r="AF211">
        <f t="shared" si="33"/>
        <v>0.16325628599408701</v>
      </c>
      <c r="AG211">
        <f t="shared" si="34"/>
        <v>39.053793840929039</v>
      </c>
      <c r="AH211">
        <f t="shared" si="35"/>
        <v>1.9311014158082631</v>
      </c>
      <c r="AI211">
        <f t="shared" si="36"/>
        <v>0.73383458504978005</v>
      </c>
      <c r="AJ211">
        <f t="shared" si="37"/>
        <v>1.6722752668262091</v>
      </c>
      <c r="AK211">
        <f t="shared" si="38"/>
        <v>2.801930745814659</v>
      </c>
      <c r="AL211">
        <f t="shared" si="39"/>
        <v>12.7459755210142</v>
      </c>
      <c r="AM211">
        <f t="shared" si="40"/>
        <v>1.039349839794586</v>
      </c>
    </row>
    <row r="212" spans="1:39" x14ac:dyDescent="0.2">
      <c r="A212">
        <v>39.053793840929039</v>
      </c>
      <c r="AD212">
        <v>5.6009719270227496</v>
      </c>
      <c r="AE212">
        <f t="shared" si="32"/>
        <v>0.16325628599408701</v>
      </c>
      <c r="AF212">
        <f t="shared" si="33"/>
        <v>39.053793840929039</v>
      </c>
      <c r="AG212">
        <f t="shared" si="34"/>
        <v>1.9311014158082631</v>
      </c>
      <c r="AH212">
        <f t="shared" si="35"/>
        <v>0.73383458504978005</v>
      </c>
      <c r="AI212">
        <f t="shared" si="36"/>
        <v>1.6722752668262091</v>
      </c>
      <c r="AJ212">
        <f t="shared" si="37"/>
        <v>2.801930745814659</v>
      </c>
      <c r="AK212">
        <f t="shared" si="38"/>
        <v>12.7459755210142</v>
      </c>
      <c r="AL212">
        <f t="shared" si="39"/>
        <v>1.039349839794586</v>
      </c>
      <c r="AM212">
        <f t="shared" si="40"/>
        <v>2.476252608594455</v>
      </c>
    </row>
    <row r="213" spans="1:39" x14ac:dyDescent="0.2">
      <c r="A213">
        <v>1.9311014158082631</v>
      </c>
      <c r="AD213">
        <v>0.16325628599408701</v>
      </c>
      <c r="AE213">
        <f t="shared" si="32"/>
        <v>39.053793840929039</v>
      </c>
      <c r="AF213">
        <f t="shared" si="33"/>
        <v>1.9311014158082631</v>
      </c>
      <c r="AG213">
        <f t="shared" si="34"/>
        <v>0.73383458504978005</v>
      </c>
      <c r="AH213">
        <f t="shared" si="35"/>
        <v>1.6722752668262091</v>
      </c>
      <c r="AI213">
        <f t="shared" si="36"/>
        <v>2.801930745814659</v>
      </c>
      <c r="AJ213">
        <f t="shared" si="37"/>
        <v>12.7459755210142</v>
      </c>
      <c r="AK213">
        <f t="shared" si="38"/>
        <v>1.039349839794586</v>
      </c>
      <c r="AL213">
        <f t="shared" si="39"/>
        <v>2.476252608594455</v>
      </c>
      <c r="AM213">
        <f t="shared" si="40"/>
        <v>24.9109487110942</v>
      </c>
    </row>
    <row r="214" spans="1:39" x14ac:dyDescent="0.2">
      <c r="A214">
        <v>0.73383458504978005</v>
      </c>
      <c r="AD214">
        <v>39.053793840929039</v>
      </c>
      <c r="AE214">
        <f t="shared" si="32"/>
        <v>1.9311014158082631</v>
      </c>
      <c r="AF214">
        <f t="shared" si="33"/>
        <v>0.73383458504978005</v>
      </c>
      <c r="AG214">
        <f t="shared" si="34"/>
        <v>1.6722752668262091</v>
      </c>
      <c r="AH214">
        <f t="shared" si="35"/>
        <v>2.801930745814659</v>
      </c>
      <c r="AI214">
        <f t="shared" si="36"/>
        <v>12.7459755210142</v>
      </c>
      <c r="AJ214">
        <f t="shared" si="37"/>
        <v>1.039349839794586</v>
      </c>
      <c r="AK214">
        <f t="shared" si="38"/>
        <v>2.476252608594455</v>
      </c>
      <c r="AL214">
        <f t="shared" si="39"/>
        <v>24.9109487110942</v>
      </c>
      <c r="AM214">
        <f t="shared" si="40"/>
        <v>9.1657803410042996E-2</v>
      </c>
    </row>
    <row r="215" spans="1:39" x14ac:dyDescent="0.2">
      <c r="A215">
        <v>1.6722752668262091</v>
      </c>
      <c r="AD215">
        <v>1.9311014158082631</v>
      </c>
      <c r="AE215">
        <f t="shared" si="32"/>
        <v>0.73383458504978005</v>
      </c>
      <c r="AF215">
        <f t="shared" si="33"/>
        <v>1.6722752668262091</v>
      </c>
      <c r="AG215">
        <f t="shared" si="34"/>
        <v>2.801930745814659</v>
      </c>
      <c r="AH215">
        <f t="shared" si="35"/>
        <v>12.7459755210142</v>
      </c>
      <c r="AI215">
        <f t="shared" si="36"/>
        <v>1.039349839794586</v>
      </c>
      <c r="AJ215">
        <f t="shared" si="37"/>
        <v>2.476252608594455</v>
      </c>
      <c r="AK215">
        <f t="shared" si="38"/>
        <v>24.9109487110942</v>
      </c>
      <c r="AL215">
        <f t="shared" si="39"/>
        <v>9.1657803410042996E-2</v>
      </c>
      <c r="AM215">
        <f t="shared" si="40"/>
        <v>2.914009883509348</v>
      </c>
    </row>
    <row r="216" spans="1:39" x14ac:dyDescent="0.2">
      <c r="A216">
        <v>2.801930745814659</v>
      </c>
      <c r="AD216">
        <v>0.73383458504978005</v>
      </c>
      <c r="AE216">
        <f t="shared" si="32"/>
        <v>1.6722752668262091</v>
      </c>
      <c r="AF216">
        <f t="shared" si="33"/>
        <v>2.801930745814659</v>
      </c>
      <c r="AG216">
        <f t="shared" si="34"/>
        <v>12.7459755210142</v>
      </c>
      <c r="AH216">
        <f t="shared" si="35"/>
        <v>1.039349839794586</v>
      </c>
      <c r="AI216">
        <f t="shared" si="36"/>
        <v>2.476252608594455</v>
      </c>
      <c r="AJ216">
        <f t="shared" si="37"/>
        <v>24.9109487110942</v>
      </c>
      <c r="AK216">
        <f t="shared" si="38"/>
        <v>9.1657803410042996E-2</v>
      </c>
      <c r="AL216">
        <f t="shared" si="39"/>
        <v>2.914009883509348</v>
      </c>
      <c r="AM216">
        <f t="shared" si="40"/>
        <v>0.63026304743153605</v>
      </c>
    </row>
    <row r="217" spans="1:39" x14ac:dyDescent="0.2">
      <c r="A217">
        <v>12.7459755210142</v>
      </c>
      <c r="AD217">
        <v>1.6722752668262091</v>
      </c>
      <c r="AE217">
        <f t="shared" si="32"/>
        <v>2.801930745814659</v>
      </c>
      <c r="AF217">
        <f t="shared" si="33"/>
        <v>12.7459755210142</v>
      </c>
      <c r="AG217">
        <f t="shared" si="34"/>
        <v>1.039349839794586</v>
      </c>
      <c r="AH217">
        <f t="shared" si="35"/>
        <v>2.476252608594455</v>
      </c>
      <c r="AI217">
        <f t="shared" si="36"/>
        <v>24.9109487110942</v>
      </c>
      <c r="AJ217">
        <f t="shared" si="37"/>
        <v>9.1657803410042996E-2</v>
      </c>
      <c r="AK217">
        <f t="shared" si="38"/>
        <v>2.914009883509348</v>
      </c>
      <c r="AL217">
        <f t="shared" si="39"/>
        <v>0.63026304743153605</v>
      </c>
      <c r="AM217">
        <f t="shared" si="40"/>
        <v>4.2773469462953004</v>
      </c>
    </row>
    <row r="218" spans="1:39" x14ac:dyDescent="0.2">
      <c r="A218">
        <v>1.039349839794586</v>
      </c>
      <c r="AD218">
        <v>2.801930745814659</v>
      </c>
      <c r="AE218">
        <f t="shared" si="32"/>
        <v>12.7459755210142</v>
      </c>
      <c r="AF218">
        <f t="shared" si="33"/>
        <v>1.039349839794586</v>
      </c>
      <c r="AG218">
        <f t="shared" si="34"/>
        <v>2.476252608594455</v>
      </c>
      <c r="AH218">
        <f t="shared" si="35"/>
        <v>24.9109487110942</v>
      </c>
      <c r="AI218">
        <f t="shared" si="36"/>
        <v>9.1657803410042996E-2</v>
      </c>
      <c r="AJ218">
        <f t="shared" si="37"/>
        <v>2.914009883509348</v>
      </c>
      <c r="AK218">
        <f t="shared" si="38"/>
        <v>0.63026304743153605</v>
      </c>
      <c r="AL218">
        <f t="shared" si="39"/>
        <v>4.2773469462953004</v>
      </c>
      <c r="AM218">
        <f t="shared" si="40"/>
        <v>6.0076380285462356</v>
      </c>
    </row>
    <row r="219" spans="1:39" x14ac:dyDescent="0.2">
      <c r="A219">
        <v>2.476252608594455</v>
      </c>
      <c r="AD219">
        <v>12.7459755210142</v>
      </c>
      <c r="AE219">
        <f t="shared" si="32"/>
        <v>1.039349839794586</v>
      </c>
      <c r="AF219">
        <f t="shared" si="33"/>
        <v>2.476252608594455</v>
      </c>
      <c r="AG219">
        <f t="shared" si="34"/>
        <v>24.9109487110942</v>
      </c>
      <c r="AH219">
        <f t="shared" si="35"/>
        <v>9.1657803410042996E-2</v>
      </c>
      <c r="AI219">
        <f t="shared" si="36"/>
        <v>2.914009883509348</v>
      </c>
      <c r="AJ219">
        <f t="shared" si="37"/>
        <v>0.63026304743153605</v>
      </c>
      <c r="AK219">
        <f t="shared" si="38"/>
        <v>4.2773469462953004</v>
      </c>
      <c r="AL219">
        <f t="shared" si="39"/>
        <v>6.0076380285462356</v>
      </c>
      <c r="AM219">
        <f t="shared" si="40"/>
        <v>4.7528684117570723</v>
      </c>
    </row>
    <row r="220" spans="1:39" x14ac:dyDescent="0.2">
      <c r="A220">
        <v>24.9109487110942</v>
      </c>
      <c r="AD220">
        <v>1.039349839794586</v>
      </c>
      <c r="AE220">
        <f t="shared" si="32"/>
        <v>2.476252608594455</v>
      </c>
      <c r="AF220">
        <f t="shared" si="33"/>
        <v>24.9109487110942</v>
      </c>
      <c r="AG220">
        <f t="shared" si="34"/>
        <v>9.1657803410042996E-2</v>
      </c>
      <c r="AH220">
        <f t="shared" si="35"/>
        <v>2.914009883509348</v>
      </c>
      <c r="AI220">
        <f t="shared" si="36"/>
        <v>0.63026304743153605</v>
      </c>
      <c r="AJ220">
        <f t="shared" si="37"/>
        <v>4.2773469462953004</v>
      </c>
      <c r="AK220">
        <f t="shared" si="38"/>
        <v>6.0076380285462356</v>
      </c>
      <c r="AL220">
        <f t="shared" si="39"/>
        <v>4.7528684117570723</v>
      </c>
      <c r="AM220">
        <f t="shared" si="40"/>
        <v>31.695275944512058</v>
      </c>
    </row>
    <row r="221" spans="1:39" x14ac:dyDescent="0.2">
      <c r="A221">
        <v>9.1657803410042996E-2</v>
      </c>
      <c r="AD221">
        <v>2.476252608594455</v>
      </c>
      <c r="AE221">
        <f t="shared" si="32"/>
        <v>24.9109487110942</v>
      </c>
      <c r="AF221">
        <f t="shared" si="33"/>
        <v>9.1657803410042996E-2</v>
      </c>
      <c r="AG221">
        <f t="shared" si="34"/>
        <v>2.914009883509348</v>
      </c>
      <c r="AH221">
        <f t="shared" si="35"/>
        <v>0.63026304743153605</v>
      </c>
      <c r="AI221">
        <f t="shared" si="36"/>
        <v>4.2773469462953004</v>
      </c>
      <c r="AJ221">
        <f t="shared" si="37"/>
        <v>6.0076380285462356</v>
      </c>
      <c r="AK221">
        <f t="shared" si="38"/>
        <v>4.7528684117570723</v>
      </c>
      <c r="AL221">
        <f t="shared" si="39"/>
        <v>31.695275944512058</v>
      </c>
      <c r="AM221">
        <f t="shared" si="40"/>
        <v>3.8262000954705</v>
      </c>
    </row>
    <row r="222" spans="1:39" x14ac:dyDescent="0.2">
      <c r="A222">
        <v>2.914009883509348</v>
      </c>
      <c r="AD222">
        <v>24.9109487110942</v>
      </c>
      <c r="AE222">
        <f t="shared" si="32"/>
        <v>9.1657803410042996E-2</v>
      </c>
      <c r="AF222">
        <f t="shared" si="33"/>
        <v>2.914009883509348</v>
      </c>
      <c r="AG222">
        <f t="shared" si="34"/>
        <v>0.63026304743153605</v>
      </c>
      <c r="AH222">
        <f t="shared" si="35"/>
        <v>4.2773469462953004</v>
      </c>
      <c r="AI222">
        <f t="shared" si="36"/>
        <v>6.0076380285462356</v>
      </c>
      <c r="AJ222">
        <f t="shared" si="37"/>
        <v>4.7528684117570723</v>
      </c>
      <c r="AK222">
        <f t="shared" si="38"/>
        <v>31.695275944512058</v>
      </c>
      <c r="AL222">
        <f t="shared" si="39"/>
        <v>3.8262000954705</v>
      </c>
      <c r="AM222">
        <f t="shared" si="40"/>
        <v>4.9635095132348566</v>
      </c>
    </row>
    <row r="223" spans="1:39" x14ac:dyDescent="0.2">
      <c r="A223">
        <v>0.63026304743153605</v>
      </c>
      <c r="AD223">
        <v>9.1657803410042996E-2</v>
      </c>
      <c r="AE223">
        <f t="shared" si="32"/>
        <v>2.914009883509348</v>
      </c>
      <c r="AF223">
        <f t="shared" si="33"/>
        <v>0.63026304743153605</v>
      </c>
      <c r="AG223">
        <f t="shared" si="34"/>
        <v>4.2773469462953004</v>
      </c>
      <c r="AH223">
        <f t="shared" si="35"/>
        <v>6.0076380285462356</v>
      </c>
      <c r="AI223">
        <f t="shared" si="36"/>
        <v>4.7528684117570723</v>
      </c>
      <c r="AJ223">
        <f t="shared" si="37"/>
        <v>31.695275944512058</v>
      </c>
      <c r="AK223">
        <f t="shared" si="38"/>
        <v>3.8262000954705</v>
      </c>
      <c r="AL223">
        <f t="shared" si="39"/>
        <v>4.9635095132348566</v>
      </c>
      <c r="AM223">
        <f t="shared" si="40"/>
        <v>1.8486310432266551</v>
      </c>
    </row>
    <row r="224" spans="1:39" x14ac:dyDescent="0.2">
      <c r="A224">
        <v>4.2773469462953004</v>
      </c>
      <c r="AD224">
        <v>2.914009883509348</v>
      </c>
      <c r="AE224">
        <f t="shared" si="32"/>
        <v>0.63026304743153605</v>
      </c>
      <c r="AF224">
        <f t="shared" si="33"/>
        <v>4.2773469462953004</v>
      </c>
      <c r="AG224">
        <f t="shared" si="34"/>
        <v>6.0076380285462356</v>
      </c>
      <c r="AH224">
        <f t="shared" si="35"/>
        <v>4.7528684117570723</v>
      </c>
      <c r="AI224">
        <f t="shared" si="36"/>
        <v>31.695275944512058</v>
      </c>
      <c r="AJ224">
        <f t="shared" si="37"/>
        <v>3.8262000954705</v>
      </c>
      <c r="AK224">
        <f t="shared" si="38"/>
        <v>4.9635095132348566</v>
      </c>
      <c r="AL224">
        <f t="shared" si="39"/>
        <v>1.8486310432266551</v>
      </c>
      <c r="AM224">
        <f t="shared" si="40"/>
        <v>0.49144337728805398</v>
      </c>
    </row>
    <row r="225" spans="1:39" x14ac:dyDescent="0.2">
      <c r="A225">
        <v>6.0076380285462356</v>
      </c>
      <c r="AD225">
        <v>0.63026304743153605</v>
      </c>
      <c r="AE225">
        <f t="shared" si="32"/>
        <v>4.2773469462953004</v>
      </c>
      <c r="AF225">
        <f t="shared" si="33"/>
        <v>6.0076380285462356</v>
      </c>
      <c r="AG225">
        <f t="shared" si="34"/>
        <v>4.7528684117570723</v>
      </c>
      <c r="AH225">
        <f t="shared" si="35"/>
        <v>31.695275944512058</v>
      </c>
      <c r="AI225">
        <f t="shared" si="36"/>
        <v>3.8262000954705</v>
      </c>
      <c r="AJ225">
        <f t="shared" si="37"/>
        <v>4.9635095132348566</v>
      </c>
      <c r="AK225">
        <f t="shared" si="38"/>
        <v>1.8486310432266551</v>
      </c>
      <c r="AL225">
        <f t="shared" si="39"/>
        <v>0.49144337728805398</v>
      </c>
      <c r="AM225">
        <f t="shared" si="40"/>
        <v>2.7021317684920652</v>
      </c>
    </row>
    <row r="226" spans="1:39" x14ac:dyDescent="0.2">
      <c r="A226">
        <v>4.7528684117570723</v>
      </c>
      <c r="AD226">
        <v>4.2773469462953004</v>
      </c>
      <c r="AE226">
        <f t="shared" si="32"/>
        <v>6.0076380285462356</v>
      </c>
      <c r="AF226">
        <f t="shared" si="33"/>
        <v>4.7528684117570723</v>
      </c>
      <c r="AG226">
        <f t="shared" si="34"/>
        <v>31.695275944512058</v>
      </c>
      <c r="AH226">
        <f t="shared" si="35"/>
        <v>3.8262000954705</v>
      </c>
      <c r="AI226">
        <f t="shared" si="36"/>
        <v>4.9635095132348566</v>
      </c>
      <c r="AJ226">
        <f t="shared" si="37"/>
        <v>1.8486310432266551</v>
      </c>
      <c r="AK226">
        <f t="shared" si="38"/>
        <v>0.49144337728805398</v>
      </c>
      <c r="AL226">
        <f t="shared" si="39"/>
        <v>2.7021317684920652</v>
      </c>
      <c r="AM226">
        <f t="shared" si="40"/>
        <v>1.6715972884072949</v>
      </c>
    </row>
    <row r="227" spans="1:39" x14ac:dyDescent="0.2">
      <c r="A227">
        <v>31.695275944512058</v>
      </c>
      <c r="AD227">
        <v>6.0076380285462356</v>
      </c>
      <c r="AE227">
        <f t="shared" si="32"/>
        <v>4.7528684117570723</v>
      </c>
      <c r="AF227">
        <f t="shared" si="33"/>
        <v>31.695275944512058</v>
      </c>
      <c r="AG227">
        <f t="shared" si="34"/>
        <v>3.8262000954705</v>
      </c>
      <c r="AH227">
        <f t="shared" si="35"/>
        <v>4.9635095132348566</v>
      </c>
      <c r="AI227">
        <f t="shared" si="36"/>
        <v>1.8486310432266551</v>
      </c>
      <c r="AJ227">
        <f t="shared" si="37"/>
        <v>0.49144337728805398</v>
      </c>
      <c r="AK227">
        <f t="shared" si="38"/>
        <v>2.7021317684920652</v>
      </c>
      <c r="AL227">
        <f t="shared" si="39"/>
        <v>1.6715972884072949</v>
      </c>
      <c r="AM227">
        <f t="shared" si="40"/>
        <v>0.268134398912584</v>
      </c>
    </row>
    <row r="228" spans="1:39" x14ac:dyDescent="0.2">
      <c r="A228">
        <v>3.8262000954705</v>
      </c>
      <c r="AD228">
        <v>4.7528684117570723</v>
      </c>
      <c r="AE228">
        <f t="shared" si="32"/>
        <v>31.695275944512058</v>
      </c>
      <c r="AF228">
        <f t="shared" si="33"/>
        <v>3.8262000954705</v>
      </c>
      <c r="AG228">
        <f t="shared" si="34"/>
        <v>4.9635095132348566</v>
      </c>
      <c r="AH228">
        <f t="shared" si="35"/>
        <v>1.8486310432266551</v>
      </c>
      <c r="AI228">
        <f t="shared" si="36"/>
        <v>0.49144337728805398</v>
      </c>
      <c r="AJ228">
        <f t="shared" si="37"/>
        <v>2.7021317684920652</v>
      </c>
      <c r="AK228">
        <f t="shared" si="38"/>
        <v>1.6715972884072949</v>
      </c>
      <c r="AL228">
        <f t="shared" si="39"/>
        <v>0.268134398912584</v>
      </c>
      <c r="AM228">
        <f t="shared" si="40"/>
        <v>0.69465110498953797</v>
      </c>
    </row>
    <row r="229" spans="1:39" x14ac:dyDescent="0.2">
      <c r="A229">
        <v>4.9635095132348566</v>
      </c>
      <c r="AD229">
        <v>31.695275944512058</v>
      </c>
      <c r="AE229">
        <f t="shared" si="32"/>
        <v>3.8262000954705</v>
      </c>
      <c r="AF229">
        <f t="shared" si="33"/>
        <v>4.9635095132348566</v>
      </c>
      <c r="AG229">
        <f t="shared" si="34"/>
        <v>1.8486310432266551</v>
      </c>
      <c r="AH229">
        <f t="shared" si="35"/>
        <v>0.49144337728805398</v>
      </c>
      <c r="AI229">
        <f t="shared" si="36"/>
        <v>2.7021317684920652</v>
      </c>
      <c r="AJ229">
        <f t="shared" si="37"/>
        <v>1.6715972884072949</v>
      </c>
      <c r="AK229">
        <f t="shared" si="38"/>
        <v>0.268134398912584</v>
      </c>
      <c r="AL229">
        <f t="shared" si="39"/>
        <v>0.69465110498953797</v>
      </c>
      <c r="AM229">
        <f t="shared" si="40"/>
        <v>0.39829036610610502</v>
      </c>
    </row>
    <row r="230" spans="1:39" x14ac:dyDescent="0.2">
      <c r="A230">
        <v>1.8486310432266551</v>
      </c>
      <c r="AD230">
        <v>3.8262000954705</v>
      </c>
      <c r="AE230">
        <f t="shared" si="32"/>
        <v>4.9635095132348566</v>
      </c>
      <c r="AF230">
        <f t="shared" si="33"/>
        <v>1.8486310432266551</v>
      </c>
      <c r="AG230">
        <f t="shared" si="34"/>
        <v>0.49144337728805398</v>
      </c>
      <c r="AH230">
        <f t="shared" si="35"/>
        <v>2.7021317684920652</v>
      </c>
      <c r="AI230">
        <f t="shared" si="36"/>
        <v>1.6715972884072949</v>
      </c>
      <c r="AJ230">
        <f t="shared" si="37"/>
        <v>0.268134398912584</v>
      </c>
      <c r="AK230">
        <f t="shared" si="38"/>
        <v>0.69465110498953797</v>
      </c>
      <c r="AL230">
        <f t="shared" si="39"/>
        <v>0.39829036610610502</v>
      </c>
      <c r="AM230">
        <f t="shared" si="40"/>
        <v>1.184635862803749</v>
      </c>
    </row>
    <row r="231" spans="1:39" x14ac:dyDescent="0.2">
      <c r="A231">
        <v>0.49144337728805398</v>
      </c>
      <c r="AD231">
        <v>4.9635095132348566</v>
      </c>
      <c r="AE231">
        <f t="shared" si="32"/>
        <v>1.8486310432266551</v>
      </c>
      <c r="AF231">
        <f t="shared" si="33"/>
        <v>0.49144337728805398</v>
      </c>
      <c r="AG231">
        <f t="shared" si="34"/>
        <v>2.7021317684920652</v>
      </c>
      <c r="AH231">
        <f t="shared" si="35"/>
        <v>1.6715972884072949</v>
      </c>
      <c r="AI231">
        <f t="shared" si="36"/>
        <v>0.268134398912584</v>
      </c>
      <c r="AJ231">
        <f t="shared" si="37"/>
        <v>0.69465110498953797</v>
      </c>
      <c r="AK231">
        <f t="shared" si="38"/>
        <v>0.39829036610610502</v>
      </c>
      <c r="AL231">
        <f t="shared" si="39"/>
        <v>1.184635862803749</v>
      </c>
      <c r="AM231">
        <f t="shared" si="40"/>
        <v>1.3972923338338019</v>
      </c>
    </row>
    <row r="232" spans="1:39" x14ac:dyDescent="0.2">
      <c r="A232">
        <v>2.7021317684920652</v>
      </c>
      <c r="AD232">
        <v>1.8486310432266551</v>
      </c>
      <c r="AE232">
        <f t="shared" si="32"/>
        <v>0.49144337728805398</v>
      </c>
      <c r="AF232">
        <f t="shared" si="33"/>
        <v>2.7021317684920652</v>
      </c>
      <c r="AG232">
        <f t="shared" si="34"/>
        <v>1.6715972884072949</v>
      </c>
      <c r="AH232">
        <f t="shared" si="35"/>
        <v>0.268134398912584</v>
      </c>
      <c r="AI232">
        <f t="shared" si="36"/>
        <v>0.69465110498953797</v>
      </c>
      <c r="AJ232">
        <f t="shared" si="37"/>
        <v>0.39829036610610502</v>
      </c>
      <c r="AK232">
        <f t="shared" si="38"/>
        <v>1.184635862803749</v>
      </c>
      <c r="AL232">
        <f t="shared" si="39"/>
        <v>1.3972923338338019</v>
      </c>
      <c r="AM232">
        <f t="shared" si="40"/>
        <v>0.35919026895341899</v>
      </c>
    </row>
    <row r="233" spans="1:39" x14ac:dyDescent="0.2">
      <c r="A233">
        <v>1.6715972884072949</v>
      </c>
      <c r="AD233">
        <v>0.49144337728805398</v>
      </c>
      <c r="AE233">
        <f t="shared" si="32"/>
        <v>2.7021317684920652</v>
      </c>
      <c r="AF233">
        <f t="shared" si="33"/>
        <v>1.6715972884072949</v>
      </c>
      <c r="AG233">
        <f t="shared" si="34"/>
        <v>0.268134398912584</v>
      </c>
      <c r="AH233">
        <f t="shared" si="35"/>
        <v>0.69465110498953797</v>
      </c>
      <c r="AI233">
        <f t="shared" si="36"/>
        <v>0.39829036610610502</v>
      </c>
      <c r="AJ233">
        <f t="shared" si="37"/>
        <v>1.184635862803749</v>
      </c>
      <c r="AK233">
        <f t="shared" si="38"/>
        <v>1.3972923338338019</v>
      </c>
      <c r="AL233">
        <f t="shared" si="39"/>
        <v>0.35919026895341899</v>
      </c>
      <c r="AM233">
        <f t="shared" si="40"/>
        <v>6.4646550708681358</v>
      </c>
    </row>
    <row r="234" spans="1:39" x14ac:dyDescent="0.2">
      <c r="A234">
        <v>0.268134398912584</v>
      </c>
      <c r="AD234">
        <v>2.7021317684920652</v>
      </c>
      <c r="AE234">
        <f t="shared" si="32"/>
        <v>1.6715972884072949</v>
      </c>
      <c r="AF234">
        <f t="shared" si="33"/>
        <v>0.268134398912584</v>
      </c>
      <c r="AG234">
        <f t="shared" si="34"/>
        <v>0.69465110498953797</v>
      </c>
      <c r="AH234">
        <f t="shared" si="35"/>
        <v>0.39829036610610502</v>
      </c>
      <c r="AI234">
        <f t="shared" si="36"/>
        <v>1.184635862803749</v>
      </c>
      <c r="AJ234">
        <f t="shared" si="37"/>
        <v>1.3972923338338019</v>
      </c>
      <c r="AK234">
        <f t="shared" si="38"/>
        <v>0.35919026895341899</v>
      </c>
      <c r="AL234">
        <f t="shared" si="39"/>
        <v>6.4646550708681358</v>
      </c>
      <c r="AM234">
        <f t="shared" si="40"/>
        <v>3.1206608937586719</v>
      </c>
    </row>
    <row r="235" spans="1:39" x14ac:dyDescent="0.2">
      <c r="A235">
        <v>0.69465110498953797</v>
      </c>
      <c r="AD235">
        <v>1.6715972884072949</v>
      </c>
      <c r="AE235">
        <f t="shared" si="32"/>
        <v>0.268134398912584</v>
      </c>
      <c r="AF235">
        <f t="shared" si="33"/>
        <v>0.69465110498953797</v>
      </c>
      <c r="AG235">
        <f t="shared" si="34"/>
        <v>0.39829036610610502</v>
      </c>
      <c r="AH235">
        <f t="shared" si="35"/>
        <v>1.184635862803749</v>
      </c>
      <c r="AI235">
        <f t="shared" si="36"/>
        <v>1.3972923338338019</v>
      </c>
      <c r="AJ235">
        <f t="shared" si="37"/>
        <v>0.35919026895341899</v>
      </c>
      <c r="AK235">
        <f t="shared" si="38"/>
        <v>6.4646550708681358</v>
      </c>
      <c r="AL235">
        <f t="shared" si="39"/>
        <v>3.1206608937586719</v>
      </c>
      <c r="AM235">
        <f t="shared" si="40"/>
        <v>0.28946940185111403</v>
      </c>
    </row>
    <row r="236" spans="1:39" x14ac:dyDescent="0.2">
      <c r="A236">
        <v>0.39829036610610502</v>
      </c>
      <c r="AD236">
        <v>0.268134398912584</v>
      </c>
      <c r="AE236">
        <f t="shared" si="32"/>
        <v>0.69465110498953797</v>
      </c>
      <c r="AF236">
        <f t="shared" si="33"/>
        <v>0.39829036610610502</v>
      </c>
      <c r="AG236">
        <f t="shared" si="34"/>
        <v>1.184635862803749</v>
      </c>
      <c r="AH236">
        <f t="shared" si="35"/>
        <v>1.3972923338338019</v>
      </c>
      <c r="AI236">
        <f t="shared" si="36"/>
        <v>0.35919026895341899</v>
      </c>
      <c r="AJ236">
        <f t="shared" si="37"/>
        <v>6.4646550708681358</v>
      </c>
      <c r="AK236">
        <f t="shared" si="38"/>
        <v>3.1206608937586719</v>
      </c>
      <c r="AL236">
        <f t="shared" si="39"/>
        <v>0.28946940185111403</v>
      </c>
      <c r="AM236">
        <f t="shared" si="40"/>
        <v>0.91185201165394303</v>
      </c>
    </row>
    <row r="237" spans="1:39" x14ac:dyDescent="0.2">
      <c r="A237">
        <v>1.184635862803749</v>
      </c>
      <c r="AD237">
        <v>0.69465110498953797</v>
      </c>
      <c r="AE237">
        <f t="shared" si="32"/>
        <v>0.39829036610610502</v>
      </c>
      <c r="AF237">
        <f t="shared" si="33"/>
        <v>1.184635862803749</v>
      </c>
      <c r="AG237">
        <f t="shared" si="34"/>
        <v>1.3972923338338019</v>
      </c>
      <c r="AH237">
        <f t="shared" si="35"/>
        <v>0.35919026895341899</v>
      </c>
      <c r="AI237">
        <f t="shared" si="36"/>
        <v>6.4646550708681358</v>
      </c>
      <c r="AJ237">
        <f t="shared" si="37"/>
        <v>3.1206608937586719</v>
      </c>
      <c r="AK237">
        <f t="shared" si="38"/>
        <v>0.28946940185111403</v>
      </c>
      <c r="AL237">
        <f t="shared" si="39"/>
        <v>0.91185201165394303</v>
      </c>
      <c r="AM237">
        <f t="shared" si="40"/>
        <v>6.6358708717083914</v>
      </c>
    </row>
    <row r="238" spans="1:39" x14ac:dyDescent="0.2">
      <c r="A238">
        <v>1.3972923338338019</v>
      </c>
      <c r="AD238">
        <v>0.39829036610610502</v>
      </c>
      <c r="AE238">
        <f t="shared" si="32"/>
        <v>1.184635862803749</v>
      </c>
      <c r="AF238">
        <f t="shared" si="33"/>
        <v>1.3972923338338019</v>
      </c>
      <c r="AG238">
        <f t="shared" si="34"/>
        <v>0.35919026895341899</v>
      </c>
      <c r="AH238">
        <f t="shared" si="35"/>
        <v>6.4646550708681358</v>
      </c>
      <c r="AI238">
        <f t="shared" si="36"/>
        <v>3.1206608937586719</v>
      </c>
      <c r="AJ238">
        <f t="shared" si="37"/>
        <v>0.28946940185111403</v>
      </c>
      <c r="AK238">
        <f t="shared" si="38"/>
        <v>0.91185201165394303</v>
      </c>
      <c r="AL238">
        <f t="shared" si="39"/>
        <v>6.6358708717083914</v>
      </c>
      <c r="AM238">
        <f t="shared" si="40"/>
        <v>5.2663866607640628</v>
      </c>
    </row>
    <row r="239" spans="1:39" x14ac:dyDescent="0.2">
      <c r="A239">
        <v>0.35919026895341899</v>
      </c>
      <c r="AD239">
        <v>1.184635862803749</v>
      </c>
      <c r="AE239">
        <f t="shared" si="32"/>
        <v>1.3972923338338019</v>
      </c>
      <c r="AF239">
        <f t="shared" si="33"/>
        <v>0.35919026895341899</v>
      </c>
      <c r="AG239">
        <f t="shared" si="34"/>
        <v>6.4646550708681358</v>
      </c>
      <c r="AH239">
        <f t="shared" si="35"/>
        <v>3.1206608937586719</v>
      </c>
      <c r="AI239">
        <f t="shared" si="36"/>
        <v>0.28946940185111403</v>
      </c>
      <c r="AJ239">
        <f t="shared" si="37"/>
        <v>0.91185201165394303</v>
      </c>
      <c r="AK239">
        <f t="shared" si="38"/>
        <v>6.6358708717083914</v>
      </c>
      <c r="AL239">
        <f t="shared" si="39"/>
        <v>5.2663866607640628</v>
      </c>
      <c r="AM239">
        <f t="shared" si="40"/>
        <v>2.2308284442494801</v>
      </c>
    </row>
    <row r="240" spans="1:39" x14ac:dyDescent="0.2">
      <c r="A240">
        <v>6.4646550708681358</v>
      </c>
      <c r="AD240">
        <v>1.3972923338338019</v>
      </c>
      <c r="AE240">
        <f t="shared" si="32"/>
        <v>0.35919026895341899</v>
      </c>
      <c r="AF240">
        <f t="shared" si="33"/>
        <v>6.4646550708681358</v>
      </c>
      <c r="AG240">
        <f t="shared" si="34"/>
        <v>3.1206608937586719</v>
      </c>
      <c r="AH240">
        <f t="shared" si="35"/>
        <v>0.28946940185111403</v>
      </c>
      <c r="AI240">
        <f t="shared" si="36"/>
        <v>0.91185201165394303</v>
      </c>
      <c r="AJ240">
        <f t="shared" si="37"/>
        <v>6.6358708717083914</v>
      </c>
      <c r="AK240">
        <f t="shared" si="38"/>
        <v>5.2663866607640628</v>
      </c>
      <c r="AL240">
        <f t="shared" si="39"/>
        <v>2.2308284442494801</v>
      </c>
      <c r="AM240">
        <f t="shared" si="40"/>
        <v>0.58961568995980695</v>
      </c>
    </row>
    <row r="241" spans="1:39" x14ac:dyDescent="0.2">
      <c r="A241">
        <v>3.1206608937586719</v>
      </c>
      <c r="AD241">
        <v>0.35919026895341899</v>
      </c>
      <c r="AE241">
        <f t="shared" si="32"/>
        <v>6.4646550708681358</v>
      </c>
      <c r="AF241">
        <f t="shared" si="33"/>
        <v>3.1206608937586719</v>
      </c>
      <c r="AG241">
        <f t="shared" si="34"/>
        <v>0.28946940185111403</v>
      </c>
      <c r="AH241">
        <f t="shared" si="35"/>
        <v>0.91185201165394303</v>
      </c>
      <c r="AI241">
        <f t="shared" si="36"/>
        <v>6.6358708717083914</v>
      </c>
      <c r="AJ241">
        <f t="shared" si="37"/>
        <v>5.2663866607640628</v>
      </c>
      <c r="AK241">
        <f t="shared" si="38"/>
        <v>2.2308284442494801</v>
      </c>
      <c r="AL241">
        <f t="shared" si="39"/>
        <v>0.58961568995980695</v>
      </c>
      <c r="AM241">
        <f t="shared" si="40"/>
        <v>58.876529411768352</v>
      </c>
    </row>
    <row r="242" spans="1:39" x14ac:dyDescent="0.2">
      <c r="A242">
        <v>0.28946940185111403</v>
      </c>
      <c r="AD242">
        <v>6.4646550708681358</v>
      </c>
      <c r="AE242">
        <f t="shared" si="32"/>
        <v>3.1206608937586719</v>
      </c>
      <c r="AF242">
        <f t="shared" si="33"/>
        <v>0.28946940185111403</v>
      </c>
      <c r="AG242">
        <f t="shared" si="34"/>
        <v>0.91185201165394303</v>
      </c>
      <c r="AH242">
        <f t="shared" si="35"/>
        <v>6.6358708717083914</v>
      </c>
      <c r="AI242">
        <f t="shared" si="36"/>
        <v>5.2663866607640628</v>
      </c>
      <c r="AJ242">
        <f t="shared" si="37"/>
        <v>2.2308284442494801</v>
      </c>
      <c r="AK242">
        <f t="shared" si="38"/>
        <v>0.58961568995980695</v>
      </c>
      <c r="AL242">
        <f t="shared" si="39"/>
        <v>58.876529411768352</v>
      </c>
      <c r="AM242">
        <f t="shared" si="40"/>
        <v>3.151564746949064</v>
      </c>
    </row>
    <row r="243" spans="1:39" x14ac:dyDescent="0.2">
      <c r="A243">
        <v>0.91185201165394303</v>
      </c>
      <c r="AD243">
        <v>3.1206608937586719</v>
      </c>
      <c r="AE243">
        <f t="shared" si="32"/>
        <v>0.28946940185111403</v>
      </c>
      <c r="AF243">
        <f t="shared" si="33"/>
        <v>0.91185201165394303</v>
      </c>
      <c r="AG243">
        <f t="shared" si="34"/>
        <v>6.6358708717083914</v>
      </c>
      <c r="AH243">
        <f t="shared" si="35"/>
        <v>5.2663866607640628</v>
      </c>
      <c r="AI243">
        <f t="shared" si="36"/>
        <v>2.2308284442494801</v>
      </c>
      <c r="AJ243">
        <f t="shared" si="37"/>
        <v>0.58961568995980695</v>
      </c>
      <c r="AK243">
        <f t="shared" si="38"/>
        <v>58.876529411768352</v>
      </c>
      <c r="AL243">
        <f t="shared" si="39"/>
        <v>3.151564746949064</v>
      </c>
      <c r="AM243">
        <f t="shared" si="40"/>
        <v>8.9329535719375006E-2</v>
      </c>
    </row>
    <row r="244" spans="1:39" x14ac:dyDescent="0.2">
      <c r="A244">
        <v>6.6358708717083914</v>
      </c>
      <c r="AD244">
        <v>0.28946940185111403</v>
      </c>
      <c r="AE244">
        <f t="shared" si="32"/>
        <v>0.91185201165394303</v>
      </c>
      <c r="AF244">
        <f t="shared" si="33"/>
        <v>6.6358708717083914</v>
      </c>
      <c r="AG244">
        <f t="shared" si="34"/>
        <v>5.2663866607640628</v>
      </c>
      <c r="AH244">
        <f t="shared" si="35"/>
        <v>2.2308284442494801</v>
      </c>
      <c r="AI244">
        <f t="shared" si="36"/>
        <v>0.58961568995980695</v>
      </c>
      <c r="AJ244">
        <f t="shared" si="37"/>
        <v>58.876529411768352</v>
      </c>
      <c r="AK244">
        <f t="shared" si="38"/>
        <v>3.151564746949064</v>
      </c>
      <c r="AL244">
        <f t="shared" si="39"/>
        <v>8.9329535719375006E-2</v>
      </c>
      <c r="AM244">
        <f t="shared" si="40"/>
        <v>2.7605753915510038</v>
      </c>
    </row>
    <row r="245" spans="1:39" x14ac:dyDescent="0.2">
      <c r="A245">
        <v>5.2663866607640628</v>
      </c>
      <c r="AD245">
        <v>0.91185201165394303</v>
      </c>
      <c r="AE245">
        <f t="shared" si="32"/>
        <v>6.6358708717083914</v>
      </c>
      <c r="AF245">
        <f t="shared" si="33"/>
        <v>5.2663866607640628</v>
      </c>
      <c r="AG245">
        <f t="shared" si="34"/>
        <v>2.2308284442494801</v>
      </c>
      <c r="AH245">
        <f t="shared" si="35"/>
        <v>0.58961568995980695</v>
      </c>
      <c r="AI245">
        <f t="shared" si="36"/>
        <v>58.876529411768352</v>
      </c>
      <c r="AJ245">
        <f t="shared" si="37"/>
        <v>3.151564746949064</v>
      </c>
      <c r="AK245">
        <f t="shared" si="38"/>
        <v>8.9329535719375006E-2</v>
      </c>
      <c r="AL245">
        <f t="shared" si="39"/>
        <v>2.7605753915510038</v>
      </c>
      <c r="AM245">
        <f t="shared" si="40"/>
        <v>55.684511783759781</v>
      </c>
    </row>
    <row r="246" spans="1:39" x14ac:dyDescent="0.2">
      <c r="A246">
        <v>2.2308284442494801</v>
      </c>
      <c r="AD246">
        <v>6.6358708717083914</v>
      </c>
      <c r="AE246">
        <f t="shared" si="32"/>
        <v>5.2663866607640628</v>
      </c>
      <c r="AF246">
        <f t="shared" si="33"/>
        <v>2.2308284442494801</v>
      </c>
      <c r="AG246">
        <f t="shared" si="34"/>
        <v>0.58961568995980695</v>
      </c>
      <c r="AH246">
        <f t="shared" si="35"/>
        <v>58.876529411768352</v>
      </c>
      <c r="AI246">
        <f t="shared" si="36"/>
        <v>3.151564746949064</v>
      </c>
      <c r="AJ246">
        <f t="shared" si="37"/>
        <v>8.9329535719375006E-2</v>
      </c>
      <c r="AK246">
        <f t="shared" si="38"/>
        <v>2.7605753915510038</v>
      </c>
      <c r="AL246">
        <f t="shared" si="39"/>
        <v>55.684511783759781</v>
      </c>
      <c r="AM246">
        <f t="shared" si="40"/>
        <v>30.72655578288996</v>
      </c>
    </row>
    <row r="247" spans="1:39" x14ac:dyDescent="0.2">
      <c r="A247">
        <v>0.58961568995980695</v>
      </c>
      <c r="AD247">
        <v>5.2663866607640628</v>
      </c>
      <c r="AE247">
        <f t="shared" si="32"/>
        <v>2.2308284442494801</v>
      </c>
      <c r="AF247">
        <f t="shared" si="33"/>
        <v>0.58961568995980695</v>
      </c>
      <c r="AG247">
        <f t="shared" si="34"/>
        <v>58.876529411768352</v>
      </c>
      <c r="AH247">
        <f t="shared" si="35"/>
        <v>3.151564746949064</v>
      </c>
      <c r="AI247">
        <f t="shared" si="36"/>
        <v>8.9329535719375006E-2</v>
      </c>
      <c r="AJ247">
        <f t="shared" si="37"/>
        <v>2.7605753915510038</v>
      </c>
      <c r="AK247">
        <f t="shared" si="38"/>
        <v>55.684511783759781</v>
      </c>
      <c r="AL247">
        <f t="shared" si="39"/>
        <v>30.72655578288996</v>
      </c>
      <c r="AM247">
        <f t="shared" si="40"/>
        <v>137.04151939255311</v>
      </c>
    </row>
    <row r="248" spans="1:39" x14ac:dyDescent="0.2">
      <c r="A248">
        <v>58.876529411768352</v>
      </c>
      <c r="AD248">
        <v>2.2308284442494801</v>
      </c>
      <c r="AE248">
        <f t="shared" si="32"/>
        <v>0.58961568995980695</v>
      </c>
      <c r="AF248">
        <f t="shared" si="33"/>
        <v>58.876529411768352</v>
      </c>
      <c r="AG248">
        <f t="shared" si="34"/>
        <v>3.151564746949064</v>
      </c>
      <c r="AH248">
        <f t="shared" si="35"/>
        <v>8.9329535719375006E-2</v>
      </c>
      <c r="AI248">
        <f t="shared" si="36"/>
        <v>2.7605753915510038</v>
      </c>
      <c r="AJ248">
        <f t="shared" si="37"/>
        <v>55.684511783759781</v>
      </c>
      <c r="AK248">
        <f t="shared" si="38"/>
        <v>30.72655578288996</v>
      </c>
      <c r="AL248">
        <f t="shared" si="39"/>
        <v>137.04151939255311</v>
      </c>
      <c r="AM248">
        <f t="shared" si="40"/>
        <v>2.6335764604120571</v>
      </c>
    </row>
    <row r="249" spans="1:39" x14ac:dyDescent="0.2">
      <c r="A249">
        <v>3.151564746949064</v>
      </c>
      <c r="AD249">
        <v>0.58961568995980695</v>
      </c>
      <c r="AE249">
        <f t="shared" si="32"/>
        <v>58.876529411768352</v>
      </c>
      <c r="AF249">
        <f t="shared" si="33"/>
        <v>3.151564746949064</v>
      </c>
      <c r="AG249">
        <f t="shared" si="34"/>
        <v>8.9329535719375006E-2</v>
      </c>
      <c r="AH249">
        <f t="shared" si="35"/>
        <v>2.7605753915510038</v>
      </c>
      <c r="AI249">
        <f t="shared" si="36"/>
        <v>55.684511783759781</v>
      </c>
      <c r="AJ249">
        <f t="shared" si="37"/>
        <v>30.72655578288996</v>
      </c>
      <c r="AK249">
        <f t="shared" si="38"/>
        <v>137.04151939255311</v>
      </c>
      <c r="AL249">
        <f t="shared" si="39"/>
        <v>2.6335764604120571</v>
      </c>
      <c r="AM249">
        <f t="shared" si="40"/>
        <v>3.597604257307887</v>
      </c>
    </row>
    <row r="250" spans="1:39" x14ac:dyDescent="0.2">
      <c r="A250">
        <v>8.9329535719375006E-2</v>
      </c>
      <c r="AD250">
        <v>58.876529411768352</v>
      </c>
      <c r="AE250">
        <f t="shared" si="32"/>
        <v>3.151564746949064</v>
      </c>
      <c r="AF250">
        <f t="shared" si="33"/>
        <v>8.9329535719375006E-2</v>
      </c>
      <c r="AG250">
        <f t="shared" si="34"/>
        <v>2.7605753915510038</v>
      </c>
      <c r="AH250">
        <f t="shared" si="35"/>
        <v>55.684511783759781</v>
      </c>
      <c r="AI250">
        <f t="shared" si="36"/>
        <v>30.72655578288996</v>
      </c>
      <c r="AJ250">
        <f t="shared" si="37"/>
        <v>137.04151939255311</v>
      </c>
      <c r="AK250">
        <f t="shared" si="38"/>
        <v>2.6335764604120571</v>
      </c>
      <c r="AL250">
        <f t="shared" si="39"/>
        <v>3.597604257307887</v>
      </c>
      <c r="AM250">
        <f t="shared" si="40"/>
        <v>78.673298115891512</v>
      </c>
    </row>
    <row r="251" spans="1:39" x14ac:dyDescent="0.2">
      <c r="A251">
        <v>2.7605753915510038</v>
      </c>
      <c r="AD251">
        <v>3.151564746949064</v>
      </c>
      <c r="AE251">
        <f t="shared" si="32"/>
        <v>8.9329535719375006E-2</v>
      </c>
      <c r="AF251">
        <f t="shared" si="33"/>
        <v>2.7605753915510038</v>
      </c>
      <c r="AG251">
        <f t="shared" si="34"/>
        <v>55.684511783759781</v>
      </c>
      <c r="AH251">
        <f t="shared" si="35"/>
        <v>30.72655578288996</v>
      </c>
      <c r="AI251">
        <f t="shared" si="36"/>
        <v>137.04151939255311</v>
      </c>
      <c r="AJ251">
        <f t="shared" si="37"/>
        <v>2.6335764604120571</v>
      </c>
      <c r="AK251">
        <f t="shared" si="38"/>
        <v>3.597604257307887</v>
      </c>
      <c r="AL251">
        <f t="shared" si="39"/>
        <v>78.673298115891512</v>
      </c>
      <c r="AM251">
        <f t="shared" si="40"/>
        <v>2.3127682626116779</v>
      </c>
    </row>
    <row r="252" spans="1:39" x14ac:dyDescent="0.2">
      <c r="A252">
        <v>55.684511783759781</v>
      </c>
      <c r="AD252">
        <v>8.9329535719375006E-2</v>
      </c>
      <c r="AE252">
        <f t="shared" si="32"/>
        <v>2.7605753915510038</v>
      </c>
      <c r="AF252">
        <f t="shared" si="33"/>
        <v>55.684511783759781</v>
      </c>
      <c r="AG252">
        <f t="shared" si="34"/>
        <v>30.72655578288996</v>
      </c>
      <c r="AH252">
        <f t="shared" si="35"/>
        <v>137.04151939255311</v>
      </c>
      <c r="AI252">
        <f t="shared" si="36"/>
        <v>2.6335764604120571</v>
      </c>
      <c r="AJ252">
        <f t="shared" si="37"/>
        <v>3.597604257307887</v>
      </c>
      <c r="AK252">
        <f t="shared" si="38"/>
        <v>78.673298115891512</v>
      </c>
      <c r="AL252">
        <f t="shared" si="39"/>
        <v>2.3127682626116779</v>
      </c>
      <c r="AM252">
        <f t="shared" si="40"/>
        <v>10.22239377308081</v>
      </c>
    </row>
    <row r="253" spans="1:39" x14ac:dyDescent="0.2">
      <c r="A253">
        <v>30.72655578288996</v>
      </c>
      <c r="AD253">
        <v>2.7605753915510038</v>
      </c>
      <c r="AE253">
        <f t="shared" si="32"/>
        <v>55.684511783759781</v>
      </c>
      <c r="AF253">
        <f t="shared" si="33"/>
        <v>30.72655578288996</v>
      </c>
      <c r="AG253">
        <f t="shared" si="34"/>
        <v>137.04151939255311</v>
      </c>
      <c r="AH253">
        <f t="shared" si="35"/>
        <v>2.6335764604120571</v>
      </c>
      <c r="AI253">
        <f t="shared" si="36"/>
        <v>3.597604257307887</v>
      </c>
      <c r="AJ253">
        <f t="shared" si="37"/>
        <v>78.673298115891512</v>
      </c>
      <c r="AK253">
        <f t="shared" si="38"/>
        <v>2.3127682626116779</v>
      </c>
      <c r="AL253">
        <f t="shared" si="39"/>
        <v>10.22239377308081</v>
      </c>
      <c r="AM253">
        <f t="shared" si="40"/>
        <v>9.1779451693126998E-2</v>
      </c>
    </row>
    <row r="254" spans="1:39" x14ac:dyDescent="0.2">
      <c r="A254">
        <v>137.04151939255311</v>
      </c>
      <c r="AD254">
        <v>55.684511783759781</v>
      </c>
      <c r="AE254">
        <f t="shared" si="32"/>
        <v>30.72655578288996</v>
      </c>
      <c r="AF254">
        <f t="shared" si="33"/>
        <v>137.04151939255311</v>
      </c>
      <c r="AG254">
        <f t="shared" si="34"/>
        <v>2.6335764604120571</v>
      </c>
      <c r="AH254">
        <f t="shared" si="35"/>
        <v>3.597604257307887</v>
      </c>
      <c r="AI254">
        <f t="shared" si="36"/>
        <v>78.673298115891512</v>
      </c>
      <c r="AJ254">
        <f t="shared" si="37"/>
        <v>2.3127682626116779</v>
      </c>
      <c r="AK254">
        <f t="shared" si="38"/>
        <v>10.22239377308081</v>
      </c>
      <c r="AL254">
        <f t="shared" si="39"/>
        <v>9.1779451693126998E-2</v>
      </c>
      <c r="AM254">
        <f t="shared" si="40"/>
        <v>7.2720147175511798</v>
      </c>
    </row>
    <row r="255" spans="1:39" x14ac:dyDescent="0.2">
      <c r="A255">
        <v>2.6335764604120571</v>
      </c>
      <c r="AD255">
        <v>30.72655578288996</v>
      </c>
      <c r="AE255">
        <f t="shared" si="32"/>
        <v>137.04151939255311</v>
      </c>
      <c r="AF255">
        <f t="shared" si="33"/>
        <v>2.6335764604120571</v>
      </c>
      <c r="AG255">
        <f t="shared" si="34"/>
        <v>3.597604257307887</v>
      </c>
      <c r="AH255">
        <f t="shared" si="35"/>
        <v>78.673298115891512</v>
      </c>
      <c r="AI255">
        <f t="shared" si="36"/>
        <v>2.3127682626116779</v>
      </c>
      <c r="AJ255">
        <f t="shared" si="37"/>
        <v>10.22239377308081</v>
      </c>
      <c r="AK255">
        <f t="shared" si="38"/>
        <v>9.1779451693126998E-2</v>
      </c>
      <c r="AL255">
        <f t="shared" si="39"/>
        <v>7.2720147175511798</v>
      </c>
      <c r="AM255">
        <f t="shared" si="40"/>
        <v>2.2038790551006868</v>
      </c>
    </row>
    <row r="256" spans="1:39" x14ac:dyDescent="0.2">
      <c r="A256">
        <v>3.597604257307887</v>
      </c>
      <c r="AD256">
        <v>137.04151939255311</v>
      </c>
      <c r="AE256">
        <f t="shared" si="32"/>
        <v>2.6335764604120571</v>
      </c>
      <c r="AF256">
        <f t="shared" si="33"/>
        <v>3.597604257307887</v>
      </c>
      <c r="AG256">
        <f t="shared" si="34"/>
        <v>78.673298115891512</v>
      </c>
      <c r="AH256">
        <f t="shared" si="35"/>
        <v>2.3127682626116779</v>
      </c>
      <c r="AI256">
        <f t="shared" si="36"/>
        <v>10.22239377308081</v>
      </c>
      <c r="AJ256">
        <f t="shared" si="37"/>
        <v>9.1779451693126998E-2</v>
      </c>
      <c r="AK256">
        <f t="shared" si="38"/>
        <v>7.2720147175511798</v>
      </c>
      <c r="AL256">
        <f t="shared" si="39"/>
        <v>2.2038790551006868</v>
      </c>
      <c r="AM256">
        <f t="shared" si="40"/>
        <v>2.8447863393960371</v>
      </c>
    </row>
    <row r="257" spans="1:39" x14ac:dyDescent="0.2">
      <c r="A257">
        <v>78.673298115891512</v>
      </c>
      <c r="AD257">
        <v>2.6335764604120571</v>
      </c>
      <c r="AE257">
        <f t="shared" si="32"/>
        <v>3.597604257307887</v>
      </c>
      <c r="AF257">
        <f t="shared" si="33"/>
        <v>78.673298115891512</v>
      </c>
      <c r="AG257">
        <f t="shared" si="34"/>
        <v>2.3127682626116779</v>
      </c>
      <c r="AH257">
        <f t="shared" si="35"/>
        <v>10.22239377308081</v>
      </c>
      <c r="AI257">
        <f t="shared" si="36"/>
        <v>9.1779451693126998E-2</v>
      </c>
      <c r="AJ257">
        <f t="shared" si="37"/>
        <v>7.2720147175511798</v>
      </c>
      <c r="AK257">
        <f t="shared" si="38"/>
        <v>2.2038790551006868</v>
      </c>
      <c r="AL257">
        <f t="shared" si="39"/>
        <v>2.8447863393960371</v>
      </c>
      <c r="AM257">
        <f t="shared" si="40"/>
        <v>3.127381671738199</v>
      </c>
    </row>
    <row r="258" spans="1:39" x14ac:dyDescent="0.2">
      <c r="A258">
        <v>2.3127682626116779</v>
      </c>
      <c r="AD258">
        <v>3.597604257307887</v>
      </c>
      <c r="AE258">
        <f t="shared" si="32"/>
        <v>78.673298115891512</v>
      </c>
      <c r="AF258">
        <f t="shared" si="33"/>
        <v>2.3127682626116779</v>
      </c>
      <c r="AG258">
        <f t="shared" si="34"/>
        <v>10.22239377308081</v>
      </c>
      <c r="AH258">
        <f t="shared" si="35"/>
        <v>9.1779451693126998E-2</v>
      </c>
      <c r="AI258">
        <f t="shared" si="36"/>
        <v>7.2720147175511798</v>
      </c>
      <c r="AJ258">
        <f t="shared" si="37"/>
        <v>2.2038790551006868</v>
      </c>
      <c r="AK258">
        <f t="shared" si="38"/>
        <v>2.8447863393960371</v>
      </c>
      <c r="AL258">
        <f t="shared" si="39"/>
        <v>3.127381671738199</v>
      </c>
      <c r="AM258">
        <f t="shared" si="40"/>
        <v>85.994577071758997</v>
      </c>
    </row>
    <row r="259" spans="1:39" x14ac:dyDescent="0.2">
      <c r="A259">
        <v>10.22239377308081</v>
      </c>
      <c r="AD259">
        <v>78.673298115891512</v>
      </c>
      <c r="AE259">
        <f t="shared" si="32"/>
        <v>2.3127682626116779</v>
      </c>
      <c r="AF259">
        <f t="shared" si="33"/>
        <v>10.22239377308081</v>
      </c>
      <c r="AG259">
        <f t="shared" si="34"/>
        <v>9.1779451693126998E-2</v>
      </c>
      <c r="AH259">
        <f t="shared" si="35"/>
        <v>7.2720147175511798</v>
      </c>
      <c r="AI259">
        <f t="shared" si="36"/>
        <v>2.2038790551006868</v>
      </c>
      <c r="AJ259">
        <f t="shared" si="37"/>
        <v>2.8447863393960371</v>
      </c>
      <c r="AK259">
        <f t="shared" si="38"/>
        <v>3.127381671738199</v>
      </c>
      <c r="AL259">
        <f t="shared" si="39"/>
        <v>85.994577071758997</v>
      </c>
      <c r="AM259">
        <f t="shared" si="40"/>
        <v>4.5700184120083032</v>
      </c>
    </row>
    <row r="260" spans="1:39" x14ac:dyDescent="0.2">
      <c r="A260">
        <v>9.1779451693126998E-2</v>
      </c>
      <c r="AD260">
        <v>2.3127682626116779</v>
      </c>
      <c r="AE260">
        <f t="shared" ref="AE260:AE300" si="41">$A259</f>
        <v>10.22239377308081</v>
      </c>
      <c r="AF260">
        <f t="shared" si="33"/>
        <v>9.1779451693126998E-2</v>
      </c>
      <c r="AG260">
        <f t="shared" si="34"/>
        <v>7.2720147175511798</v>
      </c>
      <c r="AH260">
        <f t="shared" si="35"/>
        <v>2.2038790551006868</v>
      </c>
      <c r="AI260">
        <f t="shared" si="36"/>
        <v>2.8447863393960371</v>
      </c>
      <c r="AJ260">
        <f t="shared" si="37"/>
        <v>3.127381671738199</v>
      </c>
      <c r="AK260">
        <f t="shared" si="38"/>
        <v>85.994577071758997</v>
      </c>
      <c r="AL260">
        <f t="shared" si="39"/>
        <v>4.5700184120083032</v>
      </c>
      <c r="AM260">
        <f t="shared" si="40"/>
        <v>51.394270442609169</v>
      </c>
    </row>
    <row r="261" spans="1:39" x14ac:dyDescent="0.2">
      <c r="A261">
        <v>7.2720147175511798</v>
      </c>
      <c r="AD261">
        <v>10.22239377308081</v>
      </c>
      <c r="AE261">
        <f t="shared" si="41"/>
        <v>9.1779451693126998E-2</v>
      </c>
      <c r="AF261">
        <f t="shared" ref="AF261:AF300" si="42">$A261</f>
        <v>7.2720147175511798</v>
      </c>
      <c r="AG261">
        <f t="shared" ref="AG261:AG299" si="43">$A262</f>
        <v>2.2038790551006868</v>
      </c>
      <c r="AH261">
        <f t="shared" ref="AH261:AH298" si="44">$A263</f>
        <v>2.8447863393960371</v>
      </c>
      <c r="AI261">
        <f t="shared" ref="AI261:AI297" si="45">$A264</f>
        <v>3.127381671738199</v>
      </c>
      <c r="AJ261">
        <f t="shared" ref="AJ261:AJ296" si="46">$A265</f>
        <v>85.994577071758997</v>
      </c>
      <c r="AK261">
        <f t="shared" ref="AK261:AK295" si="47">$A266</f>
        <v>4.5700184120083032</v>
      </c>
      <c r="AL261">
        <f t="shared" ref="AL261:AL294" si="48">$A267</f>
        <v>51.394270442609169</v>
      </c>
      <c r="AM261">
        <f t="shared" ref="AM261:AM293" si="49">$A268</f>
        <v>1.878728024629434</v>
      </c>
    </row>
    <row r="262" spans="1:39" x14ac:dyDescent="0.2">
      <c r="A262">
        <v>2.2038790551006868</v>
      </c>
      <c r="AD262">
        <v>9.1779451693126998E-2</v>
      </c>
      <c r="AE262">
        <f t="shared" si="41"/>
        <v>7.2720147175511798</v>
      </c>
      <c r="AF262">
        <f t="shared" si="42"/>
        <v>2.2038790551006868</v>
      </c>
      <c r="AG262">
        <f t="shared" si="43"/>
        <v>2.8447863393960371</v>
      </c>
      <c r="AH262">
        <f t="shared" si="44"/>
        <v>3.127381671738199</v>
      </c>
      <c r="AI262">
        <f t="shared" si="45"/>
        <v>85.994577071758997</v>
      </c>
      <c r="AJ262">
        <f t="shared" si="46"/>
        <v>4.5700184120083032</v>
      </c>
      <c r="AK262">
        <f t="shared" si="47"/>
        <v>51.394270442609169</v>
      </c>
      <c r="AL262">
        <f t="shared" si="48"/>
        <v>1.878728024629434</v>
      </c>
      <c r="AM262">
        <f t="shared" si="49"/>
        <v>4.8105627986861039</v>
      </c>
    </row>
    <row r="263" spans="1:39" x14ac:dyDescent="0.2">
      <c r="A263">
        <v>2.8447863393960371</v>
      </c>
      <c r="AD263">
        <v>7.2720147175511798</v>
      </c>
      <c r="AE263">
        <f t="shared" si="41"/>
        <v>2.2038790551006868</v>
      </c>
      <c r="AF263">
        <f t="shared" si="42"/>
        <v>2.8447863393960371</v>
      </c>
      <c r="AG263">
        <f t="shared" si="43"/>
        <v>3.127381671738199</v>
      </c>
      <c r="AH263">
        <f t="shared" si="44"/>
        <v>85.994577071758997</v>
      </c>
      <c r="AI263">
        <f t="shared" si="45"/>
        <v>4.5700184120083032</v>
      </c>
      <c r="AJ263">
        <f t="shared" si="46"/>
        <v>51.394270442609169</v>
      </c>
      <c r="AK263">
        <f t="shared" si="47"/>
        <v>1.878728024629434</v>
      </c>
      <c r="AL263">
        <f t="shared" si="48"/>
        <v>4.8105627986861039</v>
      </c>
      <c r="AM263">
        <f t="shared" si="49"/>
        <v>0.26824687842329697</v>
      </c>
    </row>
    <row r="264" spans="1:39" x14ac:dyDescent="0.2">
      <c r="A264">
        <v>3.127381671738199</v>
      </c>
      <c r="AD264">
        <v>2.2038790551006868</v>
      </c>
      <c r="AE264">
        <f t="shared" si="41"/>
        <v>2.8447863393960371</v>
      </c>
      <c r="AF264">
        <f t="shared" si="42"/>
        <v>3.127381671738199</v>
      </c>
      <c r="AG264">
        <f t="shared" si="43"/>
        <v>85.994577071758997</v>
      </c>
      <c r="AH264">
        <f t="shared" si="44"/>
        <v>4.5700184120083032</v>
      </c>
      <c r="AI264">
        <f t="shared" si="45"/>
        <v>51.394270442609169</v>
      </c>
      <c r="AJ264">
        <f t="shared" si="46"/>
        <v>1.878728024629434</v>
      </c>
      <c r="AK264">
        <f t="shared" si="47"/>
        <v>4.8105627986861039</v>
      </c>
      <c r="AL264">
        <f t="shared" si="48"/>
        <v>0.26824687842329697</v>
      </c>
      <c r="AM264">
        <f t="shared" si="49"/>
        <v>1.0385757574473331</v>
      </c>
    </row>
    <row r="265" spans="1:39" x14ac:dyDescent="0.2">
      <c r="A265">
        <v>85.994577071758997</v>
      </c>
      <c r="AD265">
        <v>2.8447863393960371</v>
      </c>
      <c r="AE265">
        <f t="shared" si="41"/>
        <v>3.127381671738199</v>
      </c>
      <c r="AF265">
        <f t="shared" si="42"/>
        <v>85.994577071758997</v>
      </c>
      <c r="AG265">
        <f t="shared" si="43"/>
        <v>4.5700184120083032</v>
      </c>
      <c r="AH265">
        <f t="shared" si="44"/>
        <v>51.394270442609169</v>
      </c>
      <c r="AI265">
        <f t="shared" si="45"/>
        <v>1.878728024629434</v>
      </c>
      <c r="AJ265">
        <f t="shared" si="46"/>
        <v>4.8105627986861039</v>
      </c>
      <c r="AK265">
        <f t="shared" si="47"/>
        <v>0.26824687842329697</v>
      </c>
      <c r="AL265">
        <f t="shared" si="48"/>
        <v>1.0385757574473331</v>
      </c>
      <c r="AM265">
        <f t="shared" si="49"/>
        <v>6.0650493488809999E-3</v>
      </c>
    </row>
    <row r="266" spans="1:39" x14ac:dyDescent="0.2">
      <c r="A266">
        <v>4.5700184120083032</v>
      </c>
      <c r="AD266">
        <v>3.127381671738199</v>
      </c>
      <c r="AE266">
        <f t="shared" si="41"/>
        <v>85.994577071758997</v>
      </c>
      <c r="AF266">
        <f t="shared" si="42"/>
        <v>4.5700184120083032</v>
      </c>
      <c r="AG266">
        <f t="shared" si="43"/>
        <v>51.394270442609169</v>
      </c>
      <c r="AH266">
        <f t="shared" si="44"/>
        <v>1.878728024629434</v>
      </c>
      <c r="AI266">
        <f t="shared" si="45"/>
        <v>4.8105627986861039</v>
      </c>
      <c r="AJ266">
        <f t="shared" si="46"/>
        <v>0.26824687842329697</v>
      </c>
      <c r="AK266">
        <f t="shared" si="47"/>
        <v>1.0385757574473331</v>
      </c>
      <c r="AL266">
        <f t="shared" si="48"/>
        <v>6.0650493488809999E-3</v>
      </c>
      <c r="AM266">
        <f t="shared" si="49"/>
        <v>1.74562025183433</v>
      </c>
    </row>
    <row r="267" spans="1:39" x14ac:dyDescent="0.2">
      <c r="A267">
        <v>51.394270442609169</v>
      </c>
      <c r="AD267">
        <v>85.994577071758997</v>
      </c>
      <c r="AE267">
        <f t="shared" si="41"/>
        <v>4.5700184120083032</v>
      </c>
      <c r="AF267">
        <f t="shared" si="42"/>
        <v>51.394270442609169</v>
      </c>
      <c r="AG267">
        <f t="shared" si="43"/>
        <v>1.878728024629434</v>
      </c>
      <c r="AH267">
        <f t="shared" si="44"/>
        <v>4.8105627986861039</v>
      </c>
      <c r="AI267">
        <f t="shared" si="45"/>
        <v>0.26824687842329697</v>
      </c>
      <c r="AJ267">
        <f t="shared" si="46"/>
        <v>1.0385757574473331</v>
      </c>
      <c r="AK267">
        <f t="shared" si="47"/>
        <v>6.0650493488809999E-3</v>
      </c>
      <c r="AL267">
        <f t="shared" si="48"/>
        <v>1.74562025183433</v>
      </c>
      <c r="AM267">
        <f t="shared" si="49"/>
        <v>4.6453811096803728</v>
      </c>
    </row>
    <row r="268" spans="1:39" x14ac:dyDescent="0.2">
      <c r="A268">
        <v>1.878728024629434</v>
      </c>
      <c r="AD268">
        <v>4.5700184120083032</v>
      </c>
      <c r="AE268">
        <f t="shared" si="41"/>
        <v>51.394270442609169</v>
      </c>
      <c r="AF268">
        <f t="shared" si="42"/>
        <v>1.878728024629434</v>
      </c>
      <c r="AG268">
        <f t="shared" si="43"/>
        <v>4.8105627986861039</v>
      </c>
      <c r="AH268">
        <f t="shared" si="44"/>
        <v>0.26824687842329697</v>
      </c>
      <c r="AI268">
        <f t="shared" si="45"/>
        <v>1.0385757574473331</v>
      </c>
      <c r="AJ268">
        <f t="shared" si="46"/>
        <v>6.0650493488809999E-3</v>
      </c>
      <c r="AK268">
        <f t="shared" si="47"/>
        <v>1.74562025183433</v>
      </c>
      <c r="AL268">
        <f t="shared" si="48"/>
        <v>4.6453811096803728</v>
      </c>
      <c r="AM268">
        <f t="shared" si="49"/>
        <v>0.546974576111943</v>
      </c>
    </row>
    <row r="269" spans="1:39" x14ac:dyDescent="0.2">
      <c r="A269">
        <v>4.8105627986861039</v>
      </c>
      <c r="AD269">
        <v>51.394270442609169</v>
      </c>
      <c r="AE269">
        <f t="shared" si="41"/>
        <v>1.878728024629434</v>
      </c>
      <c r="AF269">
        <f t="shared" si="42"/>
        <v>4.8105627986861039</v>
      </c>
      <c r="AG269">
        <f t="shared" si="43"/>
        <v>0.26824687842329697</v>
      </c>
      <c r="AH269">
        <f t="shared" si="44"/>
        <v>1.0385757574473331</v>
      </c>
      <c r="AI269">
        <f t="shared" si="45"/>
        <v>6.0650493488809999E-3</v>
      </c>
      <c r="AJ269">
        <f t="shared" si="46"/>
        <v>1.74562025183433</v>
      </c>
      <c r="AK269">
        <f t="shared" si="47"/>
        <v>4.6453811096803728</v>
      </c>
      <c r="AL269">
        <f t="shared" si="48"/>
        <v>0.546974576111943</v>
      </c>
      <c r="AM269">
        <f t="shared" si="49"/>
        <v>1.262541697300879</v>
      </c>
    </row>
    <row r="270" spans="1:39" x14ac:dyDescent="0.2">
      <c r="A270">
        <v>0.26824687842329697</v>
      </c>
      <c r="AD270">
        <v>1.878728024629434</v>
      </c>
      <c r="AE270">
        <f t="shared" si="41"/>
        <v>4.8105627986861039</v>
      </c>
      <c r="AF270">
        <f t="shared" si="42"/>
        <v>0.26824687842329697</v>
      </c>
      <c r="AG270">
        <f t="shared" si="43"/>
        <v>1.0385757574473331</v>
      </c>
      <c r="AH270">
        <f t="shared" si="44"/>
        <v>6.0650493488809999E-3</v>
      </c>
      <c r="AI270">
        <f t="shared" si="45"/>
        <v>1.74562025183433</v>
      </c>
      <c r="AJ270">
        <f t="shared" si="46"/>
        <v>4.6453811096803728</v>
      </c>
      <c r="AK270">
        <f t="shared" si="47"/>
        <v>0.546974576111943</v>
      </c>
      <c r="AL270">
        <f t="shared" si="48"/>
        <v>1.262541697300879</v>
      </c>
      <c r="AM270">
        <f t="shared" si="49"/>
        <v>3.3406648452265348</v>
      </c>
    </row>
    <row r="271" spans="1:39" x14ac:dyDescent="0.2">
      <c r="A271">
        <v>1.0385757574473331</v>
      </c>
      <c r="AD271">
        <v>4.8105627986861039</v>
      </c>
      <c r="AE271">
        <f t="shared" si="41"/>
        <v>0.26824687842329697</v>
      </c>
      <c r="AF271">
        <f t="shared" si="42"/>
        <v>1.0385757574473331</v>
      </c>
      <c r="AG271">
        <f t="shared" si="43"/>
        <v>6.0650493488809999E-3</v>
      </c>
      <c r="AH271">
        <f t="shared" si="44"/>
        <v>1.74562025183433</v>
      </c>
      <c r="AI271">
        <f t="shared" si="45"/>
        <v>4.6453811096803728</v>
      </c>
      <c r="AJ271">
        <f t="shared" si="46"/>
        <v>0.546974576111943</v>
      </c>
      <c r="AK271">
        <f t="shared" si="47"/>
        <v>1.262541697300879</v>
      </c>
      <c r="AL271">
        <f t="shared" si="48"/>
        <v>3.3406648452265348</v>
      </c>
      <c r="AM271">
        <f t="shared" si="49"/>
        <v>1.5192712928294709</v>
      </c>
    </row>
    <row r="272" spans="1:39" x14ac:dyDescent="0.2">
      <c r="A272">
        <v>6.0650493488809999E-3</v>
      </c>
      <c r="AD272">
        <v>0.26824687842329697</v>
      </c>
      <c r="AE272">
        <f t="shared" si="41"/>
        <v>1.0385757574473331</v>
      </c>
      <c r="AF272">
        <f t="shared" si="42"/>
        <v>6.0650493488809999E-3</v>
      </c>
      <c r="AG272">
        <f t="shared" si="43"/>
        <v>1.74562025183433</v>
      </c>
      <c r="AH272">
        <f t="shared" si="44"/>
        <v>4.6453811096803728</v>
      </c>
      <c r="AI272">
        <f t="shared" si="45"/>
        <v>0.546974576111943</v>
      </c>
      <c r="AJ272">
        <f t="shared" si="46"/>
        <v>1.262541697300879</v>
      </c>
      <c r="AK272">
        <f t="shared" si="47"/>
        <v>3.3406648452265348</v>
      </c>
      <c r="AL272">
        <f t="shared" si="48"/>
        <v>1.5192712928294709</v>
      </c>
      <c r="AM272">
        <f t="shared" si="49"/>
        <v>10.27706262092528</v>
      </c>
    </row>
    <row r="273" spans="1:39" x14ac:dyDescent="0.2">
      <c r="A273">
        <v>1.74562025183433</v>
      </c>
      <c r="AD273">
        <v>1.0385757574473331</v>
      </c>
      <c r="AE273">
        <f t="shared" si="41"/>
        <v>6.0650493488809999E-3</v>
      </c>
      <c r="AF273">
        <f t="shared" si="42"/>
        <v>1.74562025183433</v>
      </c>
      <c r="AG273">
        <f t="shared" si="43"/>
        <v>4.6453811096803728</v>
      </c>
      <c r="AH273">
        <f t="shared" si="44"/>
        <v>0.546974576111943</v>
      </c>
      <c r="AI273">
        <f t="shared" si="45"/>
        <v>1.262541697300879</v>
      </c>
      <c r="AJ273">
        <f t="shared" si="46"/>
        <v>3.3406648452265348</v>
      </c>
      <c r="AK273">
        <f t="shared" si="47"/>
        <v>1.5192712928294709</v>
      </c>
      <c r="AL273">
        <f t="shared" si="48"/>
        <v>10.27706262092528</v>
      </c>
      <c r="AM273">
        <f t="shared" si="49"/>
        <v>1.0006031931060191</v>
      </c>
    </row>
    <row r="274" spans="1:39" x14ac:dyDescent="0.2">
      <c r="A274">
        <v>4.6453811096803728</v>
      </c>
      <c r="AD274">
        <v>6.0650493488809999E-3</v>
      </c>
      <c r="AE274">
        <f t="shared" si="41"/>
        <v>1.74562025183433</v>
      </c>
      <c r="AF274">
        <f t="shared" si="42"/>
        <v>4.6453811096803728</v>
      </c>
      <c r="AG274">
        <f t="shared" si="43"/>
        <v>0.546974576111943</v>
      </c>
      <c r="AH274">
        <f t="shared" si="44"/>
        <v>1.262541697300879</v>
      </c>
      <c r="AI274">
        <f t="shared" si="45"/>
        <v>3.3406648452265348</v>
      </c>
      <c r="AJ274">
        <f t="shared" si="46"/>
        <v>1.5192712928294709</v>
      </c>
      <c r="AK274">
        <f t="shared" si="47"/>
        <v>10.27706262092528</v>
      </c>
      <c r="AL274">
        <f t="shared" si="48"/>
        <v>1.0006031931060191</v>
      </c>
      <c r="AM274">
        <f t="shared" si="49"/>
        <v>1.822533375927764</v>
      </c>
    </row>
    <row r="275" spans="1:39" x14ac:dyDescent="0.2">
      <c r="A275">
        <v>0.546974576111943</v>
      </c>
      <c r="AD275">
        <v>1.74562025183433</v>
      </c>
      <c r="AE275">
        <f t="shared" si="41"/>
        <v>4.6453811096803728</v>
      </c>
      <c r="AF275">
        <f t="shared" si="42"/>
        <v>0.546974576111943</v>
      </c>
      <c r="AG275">
        <f t="shared" si="43"/>
        <v>1.262541697300879</v>
      </c>
      <c r="AH275">
        <f t="shared" si="44"/>
        <v>3.3406648452265348</v>
      </c>
      <c r="AI275">
        <f t="shared" si="45"/>
        <v>1.5192712928294709</v>
      </c>
      <c r="AJ275">
        <f t="shared" si="46"/>
        <v>10.27706262092528</v>
      </c>
      <c r="AK275">
        <f t="shared" si="47"/>
        <v>1.0006031931060191</v>
      </c>
      <c r="AL275">
        <f t="shared" si="48"/>
        <v>1.822533375927764</v>
      </c>
      <c r="AM275">
        <f t="shared" si="49"/>
        <v>1.668048576416671</v>
      </c>
    </row>
    <row r="276" spans="1:39" x14ac:dyDescent="0.2">
      <c r="A276">
        <v>1.262541697300879</v>
      </c>
      <c r="AD276">
        <v>4.6453811096803728</v>
      </c>
      <c r="AE276">
        <f t="shared" si="41"/>
        <v>0.546974576111943</v>
      </c>
      <c r="AF276">
        <f t="shared" si="42"/>
        <v>1.262541697300879</v>
      </c>
      <c r="AG276">
        <f t="shared" si="43"/>
        <v>3.3406648452265348</v>
      </c>
      <c r="AH276">
        <f t="shared" si="44"/>
        <v>1.5192712928294709</v>
      </c>
      <c r="AI276">
        <f t="shared" si="45"/>
        <v>10.27706262092528</v>
      </c>
      <c r="AJ276">
        <f t="shared" si="46"/>
        <v>1.0006031931060191</v>
      </c>
      <c r="AK276">
        <f t="shared" si="47"/>
        <v>1.822533375927764</v>
      </c>
      <c r="AL276">
        <f t="shared" si="48"/>
        <v>1.668048576416671</v>
      </c>
      <c r="AM276">
        <f t="shared" si="49"/>
        <v>0.82865490400630004</v>
      </c>
    </row>
    <row r="277" spans="1:39" x14ac:dyDescent="0.2">
      <c r="A277">
        <v>3.3406648452265348</v>
      </c>
      <c r="AD277">
        <v>0.546974576111943</v>
      </c>
      <c r="AE277">
        <f t="shared" si="41"/>
        <v>1.262541697300879</v>
      </c>
      <c r="AF277">
        <f t="shared" si="42"/>
        <v>3.3406648452265348</v>
      </c>
      <c r="AG277">
        <f t="shared" si="43"/>
        <v>1.5192712928294709</v>
      </c>
      <c r="AH277">
        <f t="shared" si="44"/>
        <v>10.27706262092528</v>
      </c>
      <c r="AI277">
        <f t="shared" si="45"/>
        <v>1.0006031931060191</v>
      </c>
      <c r="AJ277">
        <f t="shared" si="46"/>
        <v>1.822533375927764</v>
      </c>
      <c r="AK277">
        <f t="shared" si="47"/>
        <v>1.668048576416671</v>
      </c>
      <c r="AL277">
        <f t="shared" si="48"/>
        <v>0.82865490400630004</v>
      </c>
      <c r="AM277">
        <f t="shared" si="49"/>
        <v>5.4350370738779699</v>
      </c>
    </row>
    <row r="278" spans="1:39" x14ac:dyDescent="0.2">
      <c r="A278">
        <v>1.5192712928294709</v>
      </c>
      <c r="AD278">
        <v>1.262541697300879</v>
      </c>
      <c r="AE278">
        <f t="shared" si="41"/>
        <v>3.3406648452265348</v>
      </c>
      <c r="AF278">
        <f t="shared" si="42"/>
        <v>1.5192712928294709</v>
      </c>
      <c r="AG278">
        <f t="shared" si="43"/>
        <v>10.27706262092528</v>
      </c>
      <c r="AH278">
        <f t="shared" si="44"/>
        <v>1.0006031931060191</v>
      </c>
      <c r="AI278">
        <f t="shared" si="45"/>
        <v>1.822533375927764</v>
      </c>
      <c r="AJ278">
        <f t="shared" si="46"/>
        <v>1.668048576416671</v>
      </c>
      <c r="AK278">
        <f t="shared" si="47"/>
        <v>0.82865490400630004</v>
      </c>
      <c r="AL278">
        <f t="shared" si="48"/>
        <v>5.4350370738779699</v>
      </c>
      <c r="AM278">
        <f t="shared" si="49"/>
        <v>4.8189745307467833</v>
      </c>
    </row>
    <row r="279" spans="1:39" x14ac:dyDescent="0.2">
      <c r="A279">
        <v>10.27706262092528</v>
      </c>
      <c r="AD279">
        <v>3.3406648452265348</v>
      </c>
      <c r="AE279">
        <f t="shared" si="41"/>
        <v>1.5192712928294709</v>
      </c>
      <c r="AF279">
        <f t="shared" si="42"/>
        <v>10.27706262092528</v>
      </c>
      <c r="AG279">
        <f t="shared" si="43"/>
        <v>1.0006031931060191</v>
      </c>
      <c r="AH279">
        <f t="shared" si="44"/>
        <v>1.822533375927764</v>
      </c>
      <c r="AI279">
        <f t="shared" si="45"/>
        <v>1.668048576416671</v>
      </c>
      <c r="AJ279">
        <f t="shared" si="46"/>
        <v>0.82865490400630004</v>
      </c>
      <c r="AK279">
        <f t="shared" si="47"/>
        <v>5.4350370738779699</v>
      </c>
      <c r="AL279">
        <f t="shared" si="48"/>
        <v>4.8189745307467833</v>
      </c>
      <c r="AM279">
        <f t="shared" si="49"/>
        <v>7.9046857748319002E-2</v>
      </c>
    </row>
    <row r="280" spans="1:39" x14ac:dyDescent="0.2">
      <c r="A280">
        <v>1.0006031931060191</v>
      </c>
      <c r="AD280">
        <v>1.5192712928294709</v>
      </c>
      <c r="AE280">
        <f t="shared" si="41"/>
        <v>10.27706262092528</v>
      </c>
      <c r="AF280">
        <f t="shared" si="42"/>
        <v>1.0006031931060191</v>
      </c>
      <c r="AG280">
        <f t="shared" si="43"/>
        <v>1.822533375927764</v>
      </c>
      <c r="AH280">
        <f t="shared" si="44"/>
        <v>1.668048576416671</v>
      </c>
      <c r="AI280">
        <f t="shared" si="45"/>
        <v>0.82865490400630004</v>
      </c>
      <c r="AJ280">
        <f t="shared" si="46"/>
        <v>5.4350370738779699</v>
      </c>
      <c r="AK280">
        <f t="shared" si="47"/>
        <v>4.8189745307467833</v>
      </c>
      <c r="AL280">
        <f t="shared" si="48"/>
        <v>7.9046857748319002E-2</v>
      </c>
      <c r="AM280">
        <f t="shared" si="49"/>
        <v>1.403918186150579</v>
      </c>
    </row>
    <row r="281" spans="1:39" x14ac:dyDescent="0.2">
      <c r="A281">
        <v>1.822533375927764</v>
      </c>
      <c r="AD281">
        <v>10.27706262092528</v>
      </c>
      <c r="AE281">
        <f t="shared" si="41"/>
        <v>1.0006031931060191</v>
      </c>
      <c r="AF281">
        <f t="shared" si="42"/>
        <v>1.822533375927764</v>
      </c>
      <c r="AG281">
        <f t="shared" si="43"/>
        <v>1.668048576416671</v>
      </c>
      <c r="AH281">
        <f t="shared" si="44"/>
        <v>0.82865490400630004</v>
      </c>
      <c r="AI281">
        <f t="shared" si="45"/>
        <v>5.4350370738779699</v>
      </c>
      <c r="AJ281">
        <f t="shared" si="46"/>
        <v>4.8189745307467833</v>
      </c>
      <c r="AK281">
        <f t="shared" si="47"/>
        <v>7.9046857748319002E-2</v>
      </c>
      <c r="AL281">
        <f t="shared" si="48"/>
        <v>1.403918186150579</v>
      </c>
      <c r="AM281">
        <f t="shared" si="49"/>
        <v>5.9129583889352286</v>
      </c>
    </row>
    <row r="282" spans="1:39" x14ac:dyDescent="0.2">
      <c r="A282">
        <v>1.668048576416671</v>
      </c>
      <c r="AD282">
        <v>1.0006031931060191</v>
      </c>
      <c r="AE282">
        <f t="shared" si="41"/>
        <v>1.822533375927764</v>
      </c>
      <c r="AF282">
        <f t="shared" si="42"/>
        <v>1.668048576416671</v>
      </c>
      <c r="AG282">
        <f t="shared" si="43"/>
        <v>0.82865490400630004</v>
      </c>
      <c r="AH282">
        <f t="shared" si="44"/>
        <v>5.4350370738779699</v>
      </c>
      <c r="AI282">
        <f t="shared" si="45"/>
        <v>4.8189745307467833</v>
      </c>
      <c r="AJ282">
        <f t="shared" si="46"/>
        <v>7.9046857748319002E-2</v>
      </c>
      <c r="AK282">
        <f t="shared" si="47"/>
        <v>1.403918186150579</v>
      </c>
      <c r="AL282">
        <f t="shared" si="48"/>
        <v>5.9129583889352286</v>
      </c>
      <c r="AM282">
        <f t="shared" si="49"/>
        <v>117.5130828916478</v>
      </c>
    </row>
    <row r="283" spans="1:39" x14ac:dyDescent="0.2">
      <c r="A283">
        <v>0.82865490400630004</v>
      </c>
      <c r="AD283">
        <v>1.822533375927764</v>
      </c>
      <c r="AE283">
        <f t="shared" si="41"/>
        <v>1.668048576416671</v>
      </c>
      <c r="AF283">
        <f t="shared" si="42"/>
        <v>0.82865490400630004</v>
      </c>
      <c r="AG283">
        <f t="shared" si="43"/>
        <v>5.4350370738779699</v>
      </c>
      <c r="AH283">
        <f t="shared" si="44"/>
        <v>4.8189745307467833</v>
      </c>
      <c r="AI283">
        <f t="shared" si="45"/>
        <v>7.9046857748319002E-2</v>
      </c>
      <c r="AJ283">
        <f t="shared" si="46"/>
        <v>1.403918186150579</v>
      </c>
      <c r="AK283">
        <f t="shared" si="47"/>
        <v>5.9129583889352286</v>
      </c>
      <c r="AL283">
        <f t="shared" si="48"/>
        <v>117.5130828916478</v>
      </c>
      <c r="AM283">
        <f t="shared" si="49"/>
        <v>67.688800467744457</v>
      </c>
    </row>
    <row r="284" spans="1:39" x14ac:dyDescent="0.2">
      <c r="A284">
        <v>5.4350370738779699</v>
      </c>
      <c r="AD284">
        <v>1.668048576416671</v>
      </c>
      <c r="AE284">
        <f t="shared" si="41"/>
        <v>0.82865490400630004</v>
      </c>
      <c r="AF284">
        <f t="shared" si="42"/>
        <v>5.4350370738779699</v>
      </c>
      <c r="AG284">
        <f t="shared" si="43"/>
        <v>4.8189745307467833</v>
      </c>
      <c r="AH284">
        <f t="shared" si="44"/>
        <v>7.9046857748319002E-2</v>
      </c>
      <c r="AI284">
        <f t="shared" si="45"/>
        <v>1.403918186150579</v>
      </c>
      <c r="AJ284">
        <f t="shared" si="46"/>
        <v>5.9129583889352286</v>
      </c>
      <c r="AK284">
        <f t="shared" si="47"/>
        <v>117.5130828916478</v>
      </c>
      <c r="AL284">
        <f t="shared" si="48"/>
        <v>67.688800467744457</v>
      </c>
      <c r="AM284">
        <f t="shared" si="49"/>
        <v>4.1194410680667941</v>
      </c>
    </row>
    <row r="285" spans="1:39" x14ac:dyDescent="0.2">
      <c r="A285">
        <v>4.8189745307467833</v>
      </c>
      <c r="AD285">
        <v>0.82865490400630004</v>
      </c>
      <c r="AE285">
        <f t="shared" si="41"/>
        <v>5.4350370738779699</v>
      </c>
      <c r="AF285">
        <f t="shared" si="42"/>
        <v>4.8189745307467833</v>
      </c>
      <c r="AG285">
        <f t="shared" si="43"/>
        <v>7.9046857748319002E-2</v>
      </c>
      <c r="AH285">
        <f t="shared" si="44"/>
        <v>1.403918186150579</v>
      </c>
      <c r="AI285">
        <f t="shared" si="45"/>
        <v>5.9129583889352286</v>
      </c>
      <c r="AJ285">
        <f t="shared" si="46"/>
        <v>117.5130828916478</v>
      </c>
      <c r="AK285">
        <f t="shared" si="47"/>
        <v>67.688800467744457</v>
      </c>
      <c r="AL285">
        <f t="shared" si="48"/>
        <v>4.1194410680667941</v>
      </c>
      <c r="AM285">
        <f t="shared" si="49"/>
        <v>0.42419843840537902</v>
      </c>
    </row>
    <row r="286" spans="1:39" x14ac:dyDescent="0.2">
      <c r="A286">
        <v>7.9046857748319002E-2</v>
      </c>
      <c r="AD286">
        <v>5.4350370738779699</v>
      </c>
      <c r="AE286">
        <f t="shared" si="41"/>
        <v>4.8189745307467833</v>
      </c>
      <c r="AF286">
        <f t="shared" si="42"/>
        <v>7.9046857748319002E-2</v>
      </c>
      <c r="AG286">
        <f t="shared" si="43"/>
        <v>1.403918186150579</v>
      </c>
      <c r="AH286">
        <f t="shared" si="44"/>
        <v>5.9129583889352286</v>
      </c>
      <c r="AI286">
        <f t="shared" si="45"/>
        <v>117.5130828916478</v>
      </c>
      <c r="AJ286">
        <f t="shared" si="46"/>
        <v>67.688800467744457</v>
      </c>
      <c r="AK286">
        <f t="shared" si="47"/>
        <v>4.1194410680667941</v>
      </c>
      <c r="AL286">
        <f t="shared" si="48"/>
        <v>0.42419843840537902</v>
      </c>
      <c r="AM286">
        <f t="shared" si="49"/>
        <v>102.2879519113517</v>
      </c>
    </row>
    <row r="287" spans="1:39" x14ac:dyDescent="0.2">
      <c r="A287">
        <v>1.403918186150579</v>
      </c>
      <c r="AD287">
        <v>4.8189745307467833</v>
      </c>
      <c r="AE287">
        <f t="shared" si="41"/>
        <v>7.9046857748319002E-2</v>
      </c>
      <c r="AF287">
        <f t="shared" si="42"/>
        <v>1.403918186150579</v>
      </c>
      <c r="AG287">
        <f t="shared" si="43"/>
        <v>5.9129583889352286</v>
      </c>
      <c r="AH287">
        <f t="shared" si="44"/>
        <v>117.5130828916478</v>
      </c>
      <c r="AI287">
        <f t="shared" si="45"/>
        <v>67.688800467744457</v>
      </c>
      <c r="AJ287">
        <f t="shared" si="46"/>
        <v>4.1194410680667941</v>
      </c>
      <c r="AK287">
        <f t="shared" si="47"/>
        <v>0.42419843840537902</v>
      </c>
      <c r="AL287">
        <f t="shared" si="48"/>
        <v>102.2879519113517</v>
      </c>
      <c r="AM287">
        <f t="shared" si="49"/>
        <v>0.435136678388788</v>
      </c>
    </row>
    <row r="288" spans="1:39" x14ac:dyDescent="0.2">
      <c r="A288">
        <v>5.9129583889352286</v>
      </c>
      <c r="AD288">
        <v>7.9046857748319002E-2</v>
      </c>
      <c r="AE288">
        <f t="shared" si="41"/>
        <v>1.403918186150579</v>
      </c>
      <c r="AF288">
        <f t="shared" si="42"/>
        <v>5.9129583889352286</v>
      </c>
      <c r="AG288">
        <f t="shared" si="43"/>
        <v>117.5130828916478</v>
      </c>
      <c r="AH288">
        <f t="shared" si="44"/>
        <v>67.688800467744457</v>
      </c>
      <c r="AI288">
        <f t="shared" si="45"/>
        <v>4.1194410680667941</v>
      </c>
      <c r="AJ288">
        <f t="shared" si="46"/>
        <v>0.42419843840537902</v>
      </c>
      <c r="AK288">
        <f t="shared" si="47"/>
        <v>102.2879519113517</v>
      </c>
      <c r="AL288">
        <f t="shared" si="48"/>
        <v>0.435136678388788</v>
      </c>
      <c r="AM288">
        <f t="shared" si="49"/>
        <v>4.5130201850409808</v>
      </c>
    </row>
    <row r="289" spans="1:39" x14ac:dyDescent="0.2">
      <c r="A289">
        <v>117.5130828916478</v>
      </c>
      <c r="AD289">
        <v>1.403918186150579</v>
      </c>
      <c r="AE289">
        <f t="shared" si="41"/>
        <v>5.9129583889352286</v>
      </c>
      <c r="AF289">
        <f t="shared" si="42"/>
        <v>117.5130828916478</v>
      </c>
      <c r="AG289">
        <f t="shared" si="43"/>
        <v>67.688800467744457</v>
      </c>
      <c r="AH289">
        <f t="shared" si="44"/>
        <v>4.1194410680667941</v>
      </c>
      <c r="AI289">
        <f t="shared" si="45"/>
        <v>0.42419843840537902</v>
      </c>
      <c r="AJ289">
        <f t="shared" si="46"/>
        <v>102.2879519113517</v>
      </c>
      <c r="AK289">
        <f t="shared" si="47"/>
        <v>0.435136678388788</v>
      </c>
      <c r="AL289">
        <f t="shared" si="48"/>
        <v>4.5130201850409808</v>
      </c>
      <c r="AM289">
        <f t="shared" si="49"/>
        <v>1.568061376176545</v>
      </c>
    </row>
    <row r="290" spans="1:39" x14ac:dyDescent="0.2">
      <c r="A290">
        <v>67.688800467744457</v>
      </c>
      <c r="AD290">
        <v>5.9129583889352286</v>
      </c>
      <c r="AE290">
        <f t="shared" si="41"/>
        <v>117.5130828916478</v>
      </c>
      <c r="AF290">
        <f t="shared" si="42"/>
        <v>67.688800467744457</v>
      </c>
      <c r="AG290">
        <f t="shared" si="43"/>
        <v>4.1194410680667941</v>
      </c>
      <c r="AH290">
        <f t="shared" si="44"/>
        <v>0.42419843840537902</v>
      </c>
      <c r="AI290">
        <f t="shared" si="45"/>
        <v>102.2879519113517</v>
      </c>
      <c r="AJ290">
        <f t="shared" si="46"/>
        <v>0.435136678388788</v>
      </c>
      <c r="AK290">
        <f t="shared" si="47"/>
        <v>4.5130201850409808</v>
      </c>
      <c r="AL290">
        <f t="shared" si="48"/>
        <v>1.568061376176545</v>
      </c>
      <c r="AM290">
        <f t="shared" si="49"/>
        <v>2.2376833163909451</v>
      </c>
    </row>
    <row r="291" spans="1:39" x14ac:dyDescent="0.2">
      <c r="A291">
        <v>4.1194410680667941</v>
      </c>
      <c r="AD291">
        <v>117.5130828916478</v>
      </c>
      <c r="AE291">
        <f t="shared" si="41"/>
        <v>67.688800467744457</v>
      </c>
      <c r="AF291">
        <f t="shared" si="42"/>
        <v>4.1194410680667941</v>
      </c>
      <c r="AG291">
        <f t="shared" si="43"/>
        <v>0.42419843840537902</v>
      </c>
      <c r="AH291">
        <f t="shared" si="44"/>
        <v>102.2879519113517</v>
      </c>
      <c r="AI291">
        <f t="shared" si="45"/>
        <v>0.435136678388788</v>
      </c>
      <c r="AJ291">
        <f t="shared" si="46"/>
        <v>4.5130201850409808</v>
      </c>
      <c r="AK291">
        <f t="shared" si="47"/>
        <v>1.568061376176545</v>
      </c>
      <c r="AL291">
        <f t="shared" si="48"/>
        <v>2.2376833163909451</v>
      </c>
      <c r="AM291">
        <f t="shared" si="49"/>
        <v>2.1059884783885972</v>
      </c>
    </row>
    <row r="292" spans="1:39" x14ac:dyDescent="0.2">
      <c r="A292">
        <v>0.42419843840537902</v>
      </c>
      <c r="AD292">
        <v>67.688800467744457</v>
      </c>
      <c r="AE292">
        <f t="shared" si="41"/>
        <v>4.1194410680667941</v>
      </c>
      <c r="AF292">
        <f t="shared" si="42"/>
        <v>0.42419843840537902</v>
      </c>
      <c r="AG292">
        <f t="shared" si="43"/>
        <v>102.2879519113517</v>
      </c>
      <c r="AH292">
        <f t="shared" si="44"/>
        <v>0.435136678388788</v>
      </c>
      <c r="AI292">
        <f t="shared" si="45"/>
        <v>4.5130201850409808</v>
      </c>
      <c r="AJ292">
        <f t="shared" si="46"/>
        <v>1.568061376176545</v>
      </c>
      <c r="AK292">
        <f t="shared" si="47"/>
        <v>2.2376833163909451</v>
      </c>
      <c r="AL292">
        <f t="shared" si="48"/>
        <v>2.1059884783885972</v>
      </c>
      <c r="AM292">
        <f t="shared" si="49"/>
        <v>0.97364925319171802</v>
      </c>
    </row>
    <row r="293" spans="1:39" x14ac:dyDescent="0.2">
      <c r="A293">
        <v>102.2879519113517</v>
      </c>
      <c r="AD293">
        <v>4.1194410680667941</v>
      </c>
      <c r="AE293">
        <f t="shared" si="41"/>
        <v>0.42419843840537902</v>
      </c>
      <c r="AF293">
        <f t="shared" si="42"/>
        <v>102.2879519113517</v>
      </c>
      <c r="AG293">
        <f t="shared" si="43"/>
        <v>0.435136678388788</v>
      </c>
      <c r="AH293">
        <f t="shared" si="44"/>
        <v>4.5130201850409808</v>
      </c>
      <c r="AI293">
        <f t="shared" si="45"/>
        <v>1.568061376176545</v>
      </c>
      <c r="AJ293">
        <f t="shared" si="46"/>
        <v>2.2376833163909451</v>
      </c>
      <c r="AK293">
        <f t="shared" si="47"/>
        <v>2.1059884783885972</v>
      </c>
      <c r="AL293">
        <f t="shared" si="48"/>
        <v>0.97364925319171802</v>
      </c>
      <c r="AM293">
        <f t="shared" si="49"/>
        <v>2.2760580760931561</v>
      </c>
    </row>
    <row r="294" spans="1:39" x14ac:dyDescent="0.2">
      <c r="A294">
        <v>0.435136678388788</v>
      </c>
      <c r="AD294">
        <v>0.42419843840537902</v>
      </c>
      <c r="AE294">
        <f t="shared" si="41"/>
        <v>102.2879519113517</v>
      </c>
      <c r="AF294">
        <f t="shared" si="42"/>
        <v>0.435136678388788</v>
      </c>
      <c r="AG294">
        <f t="shared" si="43"/>
        <v>4.5130201850409808</v>
      </c>
      <c r="AH294">
        <f t="shared" si="44"/>
        <v>1.568061376176545</v>
      </c>
      <c r="AI294">
        <f t="shared" si="45"/>
        <v>2.2376833163909451</v>
      </c>
      <c r="AJ294">
        <f t="shared" si="46"/>
        <v>2.1059884783885972</v>
      </c>
      <c r="AK294">
        <f t="shared" si="47"/>
        <v>0.97364925319171802</v>
      </c>
      <c r="AL294">
        <f t="shared" si="48"/>
        <v>2.2760580760931561</v>
      </c>
      <c r="AM294" s="15">
        <f>$A1</f>
        <v>4.6849640071557896</v>
      </c>
    </row>
    <row r="295" spans="1:39" x14ac:dyDescent="0.2">
      <c r="A295">
        <v>4.5130201850409808</v>
      </c>
      <c r="AD295">
        <v>102.2879519113517</v>
      </c>
      <c r="AE295">
        <f t="shared" si="41"/>
        <v>0.435136678388788</v>
      </c>
      <c r="AF295">
        <f t="shared" si="42"/>
        <v>4.5130201850409808</v>
      </c>
      <c r="AG295">
        <f t="shared" si="43"/>
        <v>1.568061376176545</v>
      </c>
      <c r="AH295">
        <f t="shared" si="44"/>
        <v>2.2376833163909451</v>
      </c>
      <c r="AI295">
        <f t="shared" si="45"/>
        <v>2.1059884783885972</v>
      </c>
      <c r="AJ295">
        <f t="shared" si="46"/>
        <v>0.97364925319171802</v>
      </c>
      <c r="AK295">
        <f t="shared" si="47"/>
        <v>2.2760580760931561</v>
      </c>
      <c r="AL295" s="15">
        <f>$A1</f>
        <v>4.6849640071557896</v>
      </c>
      <c r="AM295" s="15">
        <f t="shared" ref="AM295:AM303" si="50">$A2</f>
        <v>4.3023189820370997E-2</v>
      </c>
    </row>
    <row r="296" spans="1:39" x14ac:dyDescent="0.2">
      <c r="A296">
        <v>1.568061376176545</v>
      </c>
      <c r="AD296">
        <v>0.435136678388788</v>
      </c>
      <c r="AE296">
        <f t="shared" si="41"/>
        <v>4.5130201850409808</v>
      </c>
      <c r="AF296">
        <f t="shared" si="42"/>
        <v>1.568061376176545</v>
      </c>
      <c r="AG296">
        <f t="shared" si="43"/>
        <v>2.2376833163909451</v>
      </c>
      <c r="AH296">
        <f t="shared" si="44"/>
        <v>2.1059884783885972</v>
      </c>
      <c r="AI296">
        <f t="shared" si="45"/>
        <v>0.97364925319171802</v>
      </c>
      <c r="AJ296">
        <f t="shared" si="46"/>
        <v>2.2760580760931561</v>
      </c>
      <c r="AK296" s="15">
        <f>$A1</f>
        <v>4.6849640071557896</v>
      </c>
      <c r="AL296" s="15">
        <f t="shared" ref="AL296:AL303" si="51">$A2</f>
        <v>4.3023189820370997E-2</v>
      </c>
      <c r="AM296" s="15">
        <f t="shared" si="50"/>
        <v>3.434501430983198</v>
      </c>
    </row>
    <row r="297" spans="1:39" x14ac:dyDescent="0.2">
      <c r="A297">
        <v>2.2376833163909451</v>
      </c>
      <c r="AD297">
        <v>4.5130201850409808</v>
      </c>
      <c r="AE297">
        <f t="shared" si="41"/>
        <v>1.568061376176545</v>
      </c>
      <c r="AF297">
        <f t="shared" si="42"/>
        <v>2.2376833163909451</v>
      </c>
      <c r="AG297">
        <f t="shared" si="43"/>
        <v>2.1059884783885972</v>
      </c>
      <c r="AH297">
        <f t="shared" si="44"/>
        <v>0.97364925319171802</v>
      </c>
      <c r="AI297">
        <f t="shared" si="45"/>
        <v>2.2760580760931561</v>
      </c>
      <c r="AJ297" s="15">
        <f>$A1</f>
        <v>4.6849640071557896</v>
      </c>
      <c r="AK297" s="15">
        <f t="shared" ref="AK297:AK303" si="52">$A2</f>
        <v>4.3023189820370997E-2</v>
      </c>
      <c r="AL297" s="15">
        <f t="shared" si="51"/>
        <v>3.434501430983198</v>
      </c>
      <c r="AM297" s="15">
        <f t="shared" si="50"/>
        <v>1.1980629476460529</v>
      </c>
    </row>
    <row r="298" spans="1:39" x14ac:dyDescent="0.2">
      <c r="A298">
        <v>2.1059884783885972</v>
      </c>
      <c r="AD298">
        <v>1.568061376176545</v>
      </c>
      <c r="AE298">
        <f t="shared" si="41"/>
        <v>2.2376833163909451</v>
      </c>
      <c r="AF298">
        <f t="shared" si="42"/>
        <v>2.1059884783885972</v>
      </c>
      <c r="AG298">
        <f t="shared" si="43"/>
        <v>0.97364925319171802</v>
      </c>
      <c r="AH298">
        <f t="shared" si="44"/>
        <v>2.2760580760931561</v>
      </c>
      <c r="AI298" s="15">
        <f>$A1</f>
        <v>4.6849640071557896</v>
      </c>
      <c r="AJ298" s="15">
        <f t="shared" ref="AJ298:AJ303" si="53">$A2</f>
        <v>4.3023189820370997E-2</v>
      </c>
      <c r="AK298" s="15">
        <f t="shared" si="52"/>
        <v>3.434501430983198</v>
      </c>
      <c r="AL298" s="15">
        <f t="shared" si="51"/>
        <v>1.1980629476460529</v>
      </c>
      <c r="AM298" s="15">
        <f t="shared" si="50"/>
        <v>19.197822498212521</v>
      </c>
    </row>
    <row r="299" spans="1:39" x14ac:dyDescent="0.2">
      <c r="A299">
        <v>0.97364925319171802</v>
      </c>
      <c r="AD299">
        <v>2.2376833163909451</v>
      </c>
      <c r="AE299">
        <f t="shared" si="41"/>
        <v>2.1059884783885972</v>
      </c>
      <c r="AF299">
        <f t="shared" si="42"/>
        <v>0.97364925319171802</v>
      </c>
      <c r="AG299">
        <f t="shared" si="43"/>
        <v>2.2760580760931561</v>
      </c>
      <c r="AH299" s="15">
        <f>$A1</f>
        <v>4.6849640071557896</v>
      </c>
      <c r="AI299" s="15">
        <f>$A2</f>
        <v>4.3023189820370997E-2</v>
      </c>
      <c r="AJ299" s="15">
        <f t="shared" si="53"/>
        <v>3.434501430983198</v>
      </c>
      <c r="AK299" s="15">
        <f t="shared" si="52"/>
        <v>1.1980629476460529</v>
      </c>
      <c r="AL299" s="15">
        <f t="shared" si="51"/>
        <v>19.197822498212521</v>
      </c>
      <c r="AM299" s="15">
        <f t="shared" si="50"/>
        <v>13.41269610922771</v>
      </c>
    </row>
    <row r="300" spans="1:39" x14ac:dyDescent="0.2">
      <c r="A300">
        <v>2.2760580760931561</v>
      </c>
      <c r="AD300">
        <v>2.1059884783885972</v>
      </c>
      <c r="AE300">
        <f t="shared" si="41"/>
        <v>0.97364925319171802</v>
      </c>
      <c r="AF300">
        <f t="shared" si="42"/>
        <v>2.2760580760931561</v>
      </c>
      <c r="AG300" s="15">
        <f>$A1</f>
        <v>4.6849640071557896</v>
      </c>
      <c r="AH300" s="15">
        <f t="shared" ref="AH300:AH303" si="54">$A2</f>
        <v>4.3023189820370997E-2</v>
      </c>
      <c r="AI300" s="15">
        <f t="shared" ref="AI300:AI303" si="55">$A3</f>
        <v>3.434501430983198</v>
      </c>
      <c r="AJ300" s="15">
        <f t="shared" si="53"/>
        <v>1.1980629476460529</v>
      </c>
      <c r="AK300" s="15">
        <f t="shared" si="52"/>
        <v>19.197822498212521</v>
      </c>
      <c r="AL300" s="15">
        <f t="shared" si="51"/>
        <v>13.41269610922771</v>
      </c>
      <c r="AM300" s="15">
        <f t="shared" si="50"/>
        <v>44.72883677205369</v>
      </c>
    </row>
    <row r="301" spans="1:39" x14ac:dyDescent="0.2">
      <c r="AD301">
        <v>0.97364925319171802</v>
      </c>
      <c r="AE301">
        <f>$A300</f>
        <v>2.2760580760931561</v>
      </c>
      <c r="AF301" s="15">
        <f>$A1</f>
        <v>4.6849640071557896</v>
      </c>
      <c r="AG301" s="15">
        <f t="shared" ref="AG301:AG303" si="56">$A2</f>
        <v>4.3023189820370997E-2</v>
      </c>
      <c r="AH301" s="15">
        <f t="shared" si="54"/>
        <v>3.434501430983198</v>
      </c>
      <c r="AI301" s="15">
        <f t="shared" si="55"/>
        <v>1.1980629476460529</v>
      </c>
      <c r="AJ301" s="15">
        <f t="shared" si="53"/>
        <v>19.197822498212521</v>
      </c>
      <c r="AK301" s="15">
        <f t="shared" si="52"/>
        <v>13.41269610922771</v>
      </c>
      <c r="AL301" s="15">
        <f t="shared" si="51"/>
        <v>44.72883677205369</v>
      </c>
      <c r="AM301" s="15">
        <f t="shared" si="50"/>
        <v>2.645055165506085</v>
      </c>
    </row>
    <row r="302" spans="1:39" x14ac:dyDescent="0.2">
      <c r="AD302">
        <v>2.2760580760931561</v>
      </c>
      <c r="AE302" s="15">
        <f>$A1</f>
        <v>4.6849640071557896</v>
      </c>
      <c r="AF302" s="15">
        <f t="shared" ref="AF302:AF303" si="57">$A2</f>
        <v>4.3023189820370997E-2</v>
      </c>
      <c r="AG302" s="15">
        <f t="shared" si="56"/>
        <v>3.434501430983198</v>
      </c>
      <c r="AH302" s="15">
        <f t="shared" si="54"/>
        <v>1.1980629476460529</v>
      </c>
      <c r="AI302" s="15">
        <f t="shared" si="55"/>
        <v>19.197822498212521</v>
      </c>
      <c r="AJ302" s="15">
        <f t="shared" si="53"/>
        <v>13.41269610922771</v>
      </c>
      <c r="AK302" s="15">
        <f t="shared" si="52"/>
        <v>44.72883677205369</v>
      </c>
      <c r="AL302" s="15">
        <f t="shared" si="51"/>
        <v>2.645055165506085</v>
      </c>
      <c r="AM302" s="15">
        <f t="shared" si="50"/>
        <v>3.482134264920183</v>
      </c>
    </row>
    <row r="303" spans="1:39" x14ac:dyDescent="0.2">
      <c r="AD303" s="15">
        <v>4.6849640071557896</v>
      </c>
      <c r="AE303" s="15">
        <f>$A2</f>
        <v>4.3023189820370997E-2</v>
      </c>
      <c r="AF303" s="15">
        <f t="shared" si="57"/>
        <v>3.434501430983198</v>
      </c>
      <c r="AG303" s="15">
        <f t="shared" si="56"/>
        <v>1.1980629476460529</v>
      </c>
      <c r="AH303" s="15">
        <f t="shared" si="54"/>
        <v>19.197822498212521</v>
      </c>
      <c r="AI303" s="15">
        <f t="shared" si="55"/>
        <v>13.41269610922771</v>
      </c>
      <c r="AJ303" s="15">
        <f t="shared" si="53"/>
        <v>44.72883677205369</v>
      </c>
      <c r="AK303" s="15">
        <f t="shared" si="52"/>
        <v>2.645055165506085</v>
      </c>
      <c r="AL303" s="15">
        <f t="shared" si="51"/>
        <v>3.482134264920183</v>
      </c>
      <c r="AM303" s="15">
        <f t="shared" si="50"/>
        <v>0.74656760107906694</v>
      </c>
    </row>
  </sheetData>
  <mergeCells count="9">
    <mergeCell ref="E21:J21"/>
    <mergeCell ref="C23:C24"/>
    <mergeCell ref="C25:C26"/>
    <mergeCell ref="C33:C34"/>
    <mergeCell ref="C35:C36"/>
    <mergeCell ref="C27:C28"/>
    <mergeCell ref="C29:C30"/>
    <mergeCell ref="C31:C32"/>
    <mergeCell ref="C21:C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C007-E4EB-9646-AF90-06CB8F090FC5}">
  <dimension ref="A1:C300"/>
  <sheetViews>
    <sheetView tabSelected="1" workbookViewId="0">
      <selection activeCell="C1" sqref="C1"/>
    </sheetView>
  </sheetViews>
  <sheetFormatPr baseColWidth="10" defaultRowHeight="15" x14ac:dyDescent="0.2"/>
  <cols>
    <col min="1" max="1" width="9" bestFit="1" customWidth="1"/>
  </cols>
  <sheetData>
    <row r="1" spans="1:3" x14ac:dyDescent="0.2">
      <c r="A1" s="24">
        <v>59.860999999999997</v>
      </c>
      <c r="B1">
        <v>4.6849640071557896</v>
      </c>
      <c r="C1">
        <f>CORREL(A1:A300, B1:B300)</f>
        <v>-2.000886246078267E-3</v>
      </c>
    </row>
    <row r="2" spans="1:3" x14ac:dyDescent="0.2">
      <c r="A2" s="24">
        <v>9.3529999999999998</v>
      </c>
      <c r="B2">
        <v>4.3023189820370997E-2</v>
      </c>
    </row>
    <row r="3" spans="1:3" x14ac:dyDescent="0.2">
      <c r="A3" s="24">
        <v>4.7130000000000001</v>
      </c>
      <c r="B3">
        <v>3.434501430983198</v>
      </c>
    </row>
    <row r="4" spans="1:3" x14ac:dyDescent="0.2">
      <c r="A4" s="24">
        <v>4.6120000000000001</v>
      </c>
      <c r="B4">
        <v>1.1980629476460529</v>
      </c>
    </row>
    <row r="5" spans="1:3" x14ac:dyDescent="0.2">
      <c r="A5" s="24">
        <v>6.48</v>
      </c>
      <c r="B5">
        <v>19.197822498212521</v>
      </c>
    </row>
    <row r="6" spans="1:3" x14ac:dyDescent="0.2">
      <c r="A6" s="24">
        <v>7.944</v>
      </c>
      <c r="B6">
        <v>13.41269610922771</v>
      </c>
    </row>
    <row r="7" spans="1:3" x14ac:dyDescent="0.2">
      <c r="A7" s="24">
        <v>5.2809999999999997</v>
      </c>
      <c r="B7">
        <v>44.72883677205369</v>
      </c>
    </row>
    <row r="8" spans="1:3" x14ac:dyDescent="0.2">
      <c r="A8" s="24">
        <v>5.3449999999999998</v>
      </c>
      <c r="B8">
        <v>2.645055165506085</v>
      </c>
    </row>
    <row r="9" spans="1:3" x14ac:dyDescent="0.2">
      <c r="A9" s="24">
        <v>9.2080000000000002</v>
      </c>
      <c r="B9">
        <v>3.482134264920183</v>
      </c>
    </row>
    <row r="10" spans="1:3" x14ac:dyDescent="0.2">
      <c r="A10" s="24">
        <v>8.8230000000000004</v>
      </c>
      <c r="B10">
        <v>0.74656760107906694</v>
      </c>
    </row>
    <row r="11" spans="1:3" x14ac:dyDescent="0.2">
      <c r="A11" s="24">
        <v>4.7089999999999996</v>
      </c>
      <c r="B11">
        <v>0.902907504019408</v>
      </c>
    </row>
    <row r="12" spans="1:3" x14ac:dyDescent="0.2">
      <c r="A12" s="24">
        <v>4.7229999999999999</v>
      </c>
      <c r="B12">
        <v>0.24115809461232601</v>
      </c>
    </row>
    <row r="13" spans="1:3" x14ac:dyDescent="0.2">
      <c r="A13" s="24">
        <v>6.556</v>
      </c>
      <c r="B13">
        <v>2.2651086133351028</v>
      </c>
    </row>
    <row r="14" spans="1:3" x14ac:dyDescent="0.2">
      <c r="A14" s="24">
        <v>58.414000000000001</v>
      </c>
      <c r="B14">
        <v>3.0694651705834208</v>
      </c>
    </row>
    <row r="15" spans="1:3" x14ac:dyDescent="0.2">
      <c r="A15" s="24">
        <v>5.8369999999999997</v>
      </c>
      <c r="B15">
        <v>0.72086473953368302</v>
      </c>
    </row>
    <row r="16" spans="1:3" x14ac:dyDescent="0.2">
      <c r="A16" s="24">
        <v>25.02</v>
      </c>
      <c r="B16">
        <v>1.6246154705785689</v>
      </c>
    </row>
    <row r="17" spans="1:2" x14ac:dyDescent="0.2">
      <c r="A17" s="24">
        <v>5.1109999999999998</v>
      </c>
      <c r="B17">
        <v>3.0990787936121711</v>
      </c>
    </row>
    <row r="18" spans="1:2" x14ac:dyDescent="0.2">
      <c r="A18" s="24">
        <v>7.8949999999999996</v>
      </c>
      <c r="B18">
        <v>3.3035632884296571</v>
      </c>
    </row>
    <row r="19" spans="1:2" x14ac:dyDescent="0.2">
      <c r="A19" s="24">
        <v>7.1989999999999998</v>
      </c>
      <c r="B19">
        <v>0.99493259426785896</v>
      </c>
    </row>
    <row r="20" spans="1:2" x14ac:dyDescent="0.2">
      <c r="A20" s="24">
        <v>4.6130000000000004</v>
      </c>
      <c r="B20">
        <v>3.6606518359240002E-3</v>
      </c>
    </row>
    <row r="21" spans="1:2" x14ac:dyDescent="0.2">
      <c r="A21" s="24">
        <v>4.6050000000000004</v>
      </c>
      <c r="B21">
        <v>14.860597716977621</v>
      </c>
    </row>
    <row r="22" spans="1:2" x14ac:dyDescent="0.2">
      <c r="A22" s="24">
        <v>9.218</v>
      </c>
      <c r="B22">
        <v>3.020449365722826</v>
      </c>
    </row>
    <row r="23" spans="1:2" x14ac:dyDescent="0.2">
      <c r="A23" s="24">
        <v>8.3559999999999999</v>
      </c>
      <c r="B23">
        <v>0.87024585445884395</v>
      </c>
    </row>
    <row r="24" spans="1:2" x14ac:dyDescent="0.2">
      <c r="A24" s="24">
        <v>7.548</v>
      </c>
      <c r="B24">
        <v>0.88341313779128705</v>
      </c>
    </row>
    <row r="25" spans="1:2" x14ac:dyDescent="0.2">
      <c r="A25" s="24">
        <v>4.9269999999999996</v>
      </c>
      <c r="B25">
        <v>6.5755809243100947</v>
      </c>
    </row>
    <row r="26" spans="1:2" x14ac:dyDescent="0.2">
      <c r="A26" s="24">
        <v>5.52</v>
      </c>
      <c r="B26">
        <v>4.0006411834307283</v>
      </c>
    </row>
    <row r="27" spans="1:2" x14ac:dyDescent="0.2">
      <c r="A27" s="24">
        <v>5.226</v>
      </c>
      <c r="B27">
        <v>2.8929408114782809</v>
      </c>
    </row>
    <row r="28" spans="1:2" x14ac:dyDescent="0.2">
      <c r="A28" s="24">
        <v>5.1719999999999997</v>
      </c>
      <c r="B28">
        <v>0.45716243330027301</v>
      </c>
    </row>
    <row r="29" spans="1:2" x14ac:dyDescent="0.2">
      <c r="A29" s="24">
        <v>9.0459999999999994</v>
      </c>
      <c r="B29">
        <v>1.20642849534251</v>
      </c>
    </row>
    <row r="30" spans="1:2" x14ac:dyDescent="0.2">
      <c r="A30" s="24">
        <v>4.6120000000000001</v>
      </c>
      <c r="B30">
        <v>3.186457145869273</v>
      </c>
    </row>
    <row r="31" spans="1:2" x14ac:dyDescent="0.2">
      <c r="A31" s="24">
        <v>6.9279999999999999</v>
      </c>
      <c r="B31">
        <v>66.18760034366187</v>
      </c>
    </row>
    <row r="32" spans="1:2" x14ac:dyDescent="0.2">
      <c r="A32" s="24">
        <v>5.4459999999999997</v>
      </c>
      <c r="B32">
        <v>1.05777557056058</v>
      </c>
    </row>
    <row r="33" spans="1:2" x14ac:dyDescent="0.2">
      <c r="A33" s="24">
        <v>9.7270000000000003</v>
      </c>
      <c r="B33">
        <v>1.9484038627893661</v>
      </c>
    </row>
    <row r="34" spans="1:2" x14ac:dyDescent="0.2">
      <c r="A34" s="24">
        <v>107.898</v>
      </c>
      <c r="B34">
        <v>51.092620576120702</v>
      </c>
    </row>
    <row r="35" spans="1:2" x14ac:dyDescent="0.2">
      <c r="A35" s="24">
        <v>7.1429999999999998</v>
      </c>
      <c r="B35">
        <v>92.75499374416421</v>
      </c>
    </row>
    <row r="36" spans="1:2" x14ac:dyDescent="0.2">
      <c r="A36" s="24">
        <v>4.6779999999999999</v>
      </c>
      <c r="B36">
        <v>6.6289891448502409</v>
      </c>
    </row>
    <row r="37" spans="1:2" x14ac:dyDescent="0.2">
      <c r="A37" s="24">
        <v>5.0830000000000002</v>
      </c>
      <c r="B37">
        <v>0.896266360134791</v>
      </c>
    </row>
    <row r="38" spans="1:2" x14ac:dyDescent="0.2">
      <c r="A38" s="24">
        <v>4.617</v>
      </c>
      <c r="B38">
        <v>4.3942718839405366</v>
      </c>
    </row>
    <row r="39" spans="1:2" x14ac:dyDescent="0.2">
      <c r="A39" s="24">
        <v>6.3570000000000002</v>
      </c>
      <c r="B39">
        <v>2.5736218492217811</v>
      </c>
    </row>
    <row r="40" spans="1:2" x14ac:dyDescent="0.2">
      <c r="A40" s="24">
        <v>35.72</v>
      </c>
      <c r="B40">
        <v>9.844974621221688</v>
      </c>
    </row>
    <row r="41" spans="1:2" x14ac:dyDescent="0.2">
      <c r="A41" s="24">
        <v>44.366</v>
      </c>
      <c r="B41">
        <v>5.043702670763281</v>
      </c>
    </row>
    <row r="42" spans="1:2" x14ac:dyDescent="0.2">
      <c r="A42" s="24">
        <v>30.173999999999999</v>
      </c>
      <c r="B42">
        <v>2.2583603814875421</v>
      </c>
    </row>
    <row r="43" spans="1:2" x14ac:dyDescent="0.2">
      <c r="A43" s="24">
        <v>5.2990000000000004</v>
      </c>
      <c r="B43">
        <v>6.60375187069672</v>
      </c>
    </row>
    <row r="44" spans="1:2" x14ac:dyDescent="0.2">
      <c r="A44" s="24">
        <v>4.6630000000000003</v>
      </c>
      <c r="B44">
        <v>1.561325401899351</v>
      </c>
    </row>
    <row r="45" spans="1:2" x14ac:dyDescent="0.2">
      <c r="A45" s="24">
        <v>9.7530000000000001</v>
      </c>
      <c r="B45">
        <v>2.6819168942003682</v>
      </c>
    </row>
    <row r="46" spans="1:2" x14ac:dyDescent="0.2">
      <c r="A46" s="24">
        <v>6.8029999999999999</v>
      </c>
      <c r="B46">
        <v>7.3567785835026003</v>
      </c>
    </row>
    <row r="47" spans="1:2" x14ac:dyDescent="0.2">
      <c r="A47" s="24">
        <v>7.7949999999999999</v>
      </c>
      <c r="B47">
        <v>2.4154845888643419</v>
      </c>
    </row>
    <row r="48" spans="1:2" x14ac:dyDescent="0.2">
      <c r="A48" s="24">
        <v>4.9509999999999996</v>
      </c>
      <c r="B48">
        <v>0.65379475083503702</v>
      </c>
    </row>
    <row r="49" spans="1:2" x14ac:dyDescent="0.2">
      <c r="A49" s="24">
        <v>9.8079999999999998</v>
      </c>
      <c r="B49">
        <v>4.1011999763952998E-2</v>
      </c>
    </row>
    <row r="50" spans="1:2" x14ac:dyDescent="0.2">
      <c r="A50" s="24">
        <v>64.710999999999999</v>
      </c>
      <c r="B50">
        <v>0.64015374190423402</v>
      </c>
    </row>
    <row r="51" spans="1:2" x14ac:dyDescent="0.2">
      <c r="A51" s="24">
        <v>7.3470000000000004</v>
      </c>
      <c r="B51">
        <v>14.898813744678661</v>
      </c>
    </row>
    <row r="52" spans="1:2" x14ac:dyDescent="0.2">
      <c r="A52" s="24">
        <v>5.3920000000000003</v>
      </c>
      <c r="B52">
        <v>0.81153014605836604</v>
      </c>
    </row>
    <row r="53" spans="1:2" x14ac:dyDescent="0.2">
      <c r="A53" s="24">
        <v>5.702</v>
      </c>
      <c r="B53">
        <v>1.132235159136711</v>
      </c>
    </row>
    <row r="54" spans="1:2" x14ac:dyDescent="0.2">
      <c r="A54" s="24">
        <v>6.9829999999999997</v>
      </c>
      <c r="B54">
        <v>5.8432672923031754</v>
      </c>
    </row>
    <row r="55" spans="1:2" x14ac:dyDescent="0.2">
      <c r="A55" s="24">
        <v>6.2119999999999997</v>
      </c>
      <c r="B55">
        <v>52.423088588302441</v>
      </c>
    </row>
    <row r="56" spans="1:2" x14ac:dyDescent="0.2">
      <c r="A56" s="24">
        <v>9.1739999999999995</v>
      </c>
      <c r="B56">
        <v>82.375706275013712</v>
      </c>
    </row>
    <row r="57" spans="1:2" x14ac:dyDescent="0.2">
      <c r="A57" s="24">
        <v>27.79</v>
      </c>
      <c r="B57">
        <v>0.111385804868553</v>
      </c>
    </row>
    <row r="58" spans="1:2" x14ac:dyDescent="0.2">
      <c r="A58" s="24">
        <v>4.7949999999999999</v>
      </c>
      <c r="B58">
        <v>5.4255091539513627</v>
      </c>
    </row>
    <row r="59" spans="1:2" x14ac:dyDescent="0.2">
      <c r="A59" s="24">
        <v>66.733000000000004</v>
      </c>
      <c r="B59">
        <v>1.986472915046096</v>
      </c>
    </row>
    <row r="60" spans="1:2" x14ac:dyDescent="0.2">
      <c r="A60" s="24">
        <v>53.781999999999996</v>
      </c>
      <c r="B60">
        <v>220.38928998882309</v>
      </c>
    </row>
    <row r="61" spans="1:2" x14ac:dyDescent="0.2">
      <c r="A61" s="24">
        <v>6.6420000000000003</v>
      </c>
      <c r="B61">
        <v>0.13825199522852699</v>
      </c>
    </row>
    <row r="62" spans="1:2" x14ac:dyDescent="0.2">
      <c r="A62" s="24">
        <v>4.6989999999999998</v>
      </c>
      <c r="B62">
        <v>3.7305146281842259</v>
      </c>
    </row>
    <row r="63" spans="1:2" x14ac:dyDescent="0.2">
      <c r="A63" s="24">
        <v>11.933</v>
      </c>
      <c r="B63">
        <v>0.74356947734617895</v>
      </c>
    </row>
    <row r="64" spans="1:2" x14ac:dyDescent="0.2">
      <c r="A64" s="24">
        <v>4.6059999999999999</v>
      </c>
      <c r="B64">
        <v>1.4579805329876201</v>
      </c>
    </row>
    <row r="65" spans="1:2" x14ac:dyDescent="0.2">
      <c r="A65" s="24">
        <v>5.9619999999999997</v>
      </c>
      <c r="B65">
        <v>0.44250128509192899</v>
      </c>
    </row>
    <row r="66" spans="1:2" x14ac:dyDescent="0.2">
      <c r="A66" s="24">
        <v>7.9809999999999999</v>
      </c>
      <c r="B66">
        <v>1.0490350674943809</v>
      </c>
    </row>
    <row r="67" spans="1:2" x14ac:dyDescent="0.2">
      <c r="A67" s="24">
        <v>4.6059999999999999</v>
      </c>
      <c r="B67">
        <v>0.625734111523919</v>
      </c>
    </row>
    <row r="68" spans="1:2" x14ac:dyDescent="0.2">
      <c r="A68" s="24">
        <v>4.6440000000000001</v>
      </c>
      <c r="B68">
        <v>1.0661953471542999E-2</v>
      </c>
    </row>
    <row r="69" spans="1:2" x14ac:dyDescent="0.2">
      <c r="A69" s="24">
        <v>6.9779999999999998</v>
      </c>
      <c r="B69">
        <v>1.6506082375471951</v>
      </c>
    </row>
    <row r="70" spans="1:2" x14ac:dyDescent="0.2">
      <c r="A70" s="24">
        <v>4.62</v>
      </c>
      <c r="B70">
        <v>17.245154712894578</v>
      </c>
    </row>
    <row r="71" spans="1:2" x14ac:dyDescent="0.2">
      <c r="A71" s="24">
        <v>5.71</v>
      </c>
      <c r="B71">
        <v>1.6977021389724769</v>
      </c>
    </row>
    <row r="72" spans="1:2" x14ac:dyDescent="0.2">
      <c r="A72" s="24">
        <v>4.6680000000000001</v>
      </c>
      <c r="B72">
        <v>0.45986757484201002</v>
      </c>
    </row>
    <row r="73" spans="1:2" x14ac:dyDescent="0.2">
      <c r="A73" s="24">
        <v>190.6</v>
      </c>
      <c r="B73">
        <v>5.8057009656327931</v>
      </c>
    </row>
    <row r="74" spans="1:2" x14ac:dyDescent="0.2">
      <c r="A74" s="24">
        <v>9.8559999999999999</v>
      </c>
      <c r="B74">
        <v>0.183094785636088</v>
      </c>
    </row>
    <row r="75" spans="1:2" x14ac:dyDescent="0.2">
      <c r="A75" s="24">
        <v>8.3320000000000007</v>
      </c>
      <c r="B75">
        <v>1.9548100260574039</v>
      </c>
    </row>
    <row r="76" spans="1:2" x14ac:dyDescent="0.2">
      <c r="A76" s="24">
        <v>18.488</v>
      </c>
      <c r="B76">
        <v>2.0998187368527579</v>
      </c>
    </row>
    <row r="77" spans="1:2" x14ac:dyDescent="0.2">
      <c r="A77" s="24">
        <v>5.9779999999999998</v>
      </c>
      <c r="B77">
        <v>0.21092522788895701</v>
      </c>
    </row>
    <row r="78" spans="1:2" x14ac:dyDescent="0.2">
      <c r="A78" s="24">
        <v>23.256</v>
      </c>
      <c r="B78">
        <v>1.833275974230651</v>
      </c>
    </row>
    <row r="79" spans="1:2" x14ac:dyDescent="0.2">
      <c r="A79" s="24">
        <v>6.298</v>
      </c>
      <c r="B79">
        <v>2.8975369441998051</v>
      </c>
    </row>
    <row r="80" spans="1:2" x14ac:dyDescent="0.2">
      <c r="A80" s="24">
        <v>7.7750000000000004</v>
      </c>
      <c r="B80">
        <v>12.65000469594708</v>
      </c>
    </row>
    <row r="81" spans="1:2" x14ac:dyDescent="0.2">
      <c r="A81" s="24">
        <v>4.641</v>
      </c>
      <c r="B81">
        <v>0.72480329242156605</v>
      </c>
    </row>
    <row r="82" spans="1:2" x14ac:dyDescent="0.2">
      <c r="A82" s="24">
        <v>9.2420000000000009</v>
      </c>
      <c r="B82">
        <v>4.6662223997851608</v>
      </c>
    </row>
    <row r="83" spans="1:2" x14ac:dyDescent="0.2">
      <c r="A83" s="24">
        <v>9.9779999999999998</v>
      </c>
      <c r="B83">
        <v>3.1591753021960112</v>
      </c>
    </row>
    <row r="84" spans="1:2" x14ac:dyDescent="0.2">
      <c r="A84" s="24">
        <v>7.8490000000000002</v>
      </c>
      <c r="B84">
        <v>1.470689772283295</v>
      </c>
    </row>
    <row r="85" spans="1:2" x14ac:dyDescent="0.2">
      <c r="A85" s="24">
        <v>4.7270000000000003</v>
      </c>
      <c r="B85">
        <v>4.4899044061679776</v>
      </c>
    </row>
    <row r="86" spans="1:2" x14ac:dyDescent="0.2">
      <c r="A86" s="24">
        <v>9.4049999999999994</v>
      </c>
      <c r="B86">
        <v>1.0128758377807141</v>
      </c>
    </row>
    <row r="87" spans="1:2" x14ac:dyDescent="0.2">
      <c r="A87" s="24">
        <v>8.0449999999999999</v>
      </c>
      <c r="B87">
        <v>1.0294909086489279</v>
      </c>
    </row>
    <row r="88" spans="1:2" x14ac:dyDescent="0.2">
      <c r="A88" s="24">
        <v>6.4109999999999996</v>
      </c>
      <c r="B88">
        <v>3.2810993469313949</v>
      </c>
    </row>
    <row r="89" spans="1:2" x14ac:dyDescent="0.2">
      <c r="A89" s="24">
        <v>128.553</v>
      </c>
      <c r="B89">
        <v>2.8231309452664139</v>
      </c>
    </row>
    <row r="90" spans="1:2" x14ac:dyDescent="0.2">
      <c r="A90" s="24">
        <v>17.262</v>
      </c>
      <c r="B90">
        <v>0.48390646249459102</v>
      </c>
    </row>
    <row r="91" spans="1:2" x14ac:dyDescent="0.2">
      <c r="A91" s="24">
        <v>5.367</v>
      </c>
      <c r="B91">
        <v>2.8146508145351219</v>
      </c>
    </row>
    <row r="92" spans="1:2" x14ac:dyDescent="0.2">
      <c r="A92" s="24">
        <v>6.0659999999999998</v>
      </c>
      <c r="B92">
        <v>2.829570375916052</v>
      </c>
    </row>
    <row r="93" spans="1:2" x14ac:dyDescent="0.2">
      <c r="A93" s="24">
        <v>5.2649999999999997</v>
      </c>
      <c r="B93">
        <v>1.37277522347382</v>
      </c>
    </row>
    <row r="94" spans="1:2" x14ac:dyDescent="0.2">
      <c r="A94" s="24">
        <v>4.6349999999999998</v>
      </c>
      <c r="B94">
        <v>0.84735767957964303</v>
      </c>
    </row>
    <row r="95" spans="1:2" x14ac:dyDescent="0.2">
      <c r="A95" s="24">
        <v>7.1159999999999997</v>
      </c>
      <c r="B95">
        <v>1.7310110613142491</v>
      </c>
    </row>
    <row r="96" spans="1:2" x14ac:dyDescent="0.2">
      <c r="A96" s="24">
        <v>181.25200000000001</v>
      </c>
      <c r="B96">
        <v>9.6662239796939994E-3</v>
      </c>
    </row>
    <row r="97" spans="1:2" x14ac:dyDescent="0.2">
      <c r="A97" s="24">
        <v>4.8719999999999999</v>
      </c>
      <c r="B97">
        <v>5.8675660051874372</v>
      </c>
    </row>
    <row r="98" spans="1:2" x14ac:dyDescent="0.2">
      <c r="A98" s="24">
        <v>7.6139999999999999</v>
      </c>
      <c r="B98">
        <v>0.51047072993369302</v>
      </c>
    </row>
    <row r="99" spans="1:2" x14ac:dyDescent="0.2">
      <c r="A99" s="24">
        <v>4.6689999999999996</v>
      </c>
      <c r="B99">
        <v>0.83152041253688602</v>
      </c>
    </row>
    <row r="100" spans="1:2" x14ac:dyDescent="0.2">
      <c r="A100" s="24">
        <v>4.74</v>
      </c>
      <c r="B100">
        <v>1.212441326103761</v>
      </c>
    </row>
    <row r="101" spans="1:2" x14ac:dyDescent="0.2">
      <c r="A101" s="24">
        <v>8.6319999999999997</v>
      </c>
      <c r="B101">
        <v>0.224606776388417</v>
      </c>
    </row>
    <row r="102" spans="1:2" x14ac:dyDescent="0.2">
      <c r="A102" s="24">
        <v>6.2539999999999996</v>
      </c>
      <c r="B102">
        <v>0.305408676712005</v>
      </c>
    </row>
    <row r="103" spans="1:2" x14ac:dyDescent="0.2">
      <c r="A103" s="24">
        <v>7.3310000000000004</v>
      </c>
      <c r="B103">
        <v>75.327833274753132</v>
      </c>
    </row>
    <row r="104" spans="1:2" x14ac:dyDescent="0.2">
      <c r="A104" s="24">
        <v>5.1429999999999998</v>
      </c>
      <c r="B104">
        <v>0.71215951758858798</v>
      </c>
    </row>
    <row r="105" spans="1:2" x14ac:dyDescent="0.2">
      <c r="A105" s="24">
        <v>105.455</v>
      </c>
      <c r="B105">
        <v>1.2700033067865719</v>
      </c>
    </row>
    <row r="106" spans="1:2" x14ac:dyDescent="0.2">
      <c r="A106" s="24">
        <v>100.11</v>
      </c>
      <c r="B106">
        <v>0.91445922250402201</v>
      </c>
    </row>
    <row r="107" spans="1:2" x14ac:dyDescent="0.2">
      <c r="A107" s="24">
        <v>8.0830000000000002</v>
      </c>
      <c r="B107">
        <v>0.90748707244976501</v>
      </c>
    </row>
    <row r="108" spans="1:2" x14ac:dyDescent="0.2">
      <c r="A108" s="24">
        <v>8.43</v>
      </c>
      <c r="B108">
        <v>1.1169522632262101</v>
      </c>
    </row>
    <row r="109" spans="1:2" x14ac:dyDescent="0.2">
      <c r="A109" s="24">
        <v>41.194000000000003</v>
      </c>
      <c r="B109">
        <v>11.88752667705382</v>
      </c>
    </row>
    <row r="110" spans="1:2" x14ac:dyDescent="0.2">
      <c r="A110" s="24">
        <v>7.3410000000000002</v>
      </c>
      <c r="B110">
        <v>2.2375935961785398</v>
      </c>
    </row>
    <row r="111" spans="1:2" x14ac:dyDescent="0.2">
      <c r="A111" s="24">
        <v>5.6779999999999999</v>
      </c>
      <c r="B111">
        <v>0.79649944861856803</v>
      </c>
    </row>
    <row r="112" spans="1:2" x14ac:dyDescent="0.2">
      <c r="A112" s="24">
        <v>8.859</v>
      </c>
      <c r="B112">
        <v>10.2319294070978</v>
      </c>
    </row>
    <row r="113" spans="1:2" x14ac:dyDescent="0.2">
      <c r="A113" s="24">
        <v>9.4019999999999992</v>
      </c>
      <c r="B113">
        <v>1.513559992171662</v>
      </c>
    </row>
    <row r="114" spans="1:2" x14ac:dyDescent="0.2">
      <c r="A114" s="24">
        <v>17.835000000000001</v>
      </c>
      <c r="B114">
        <v>0.91187979821621201</v>
      </c>
    </row>
    <row r="115" spans="1:2" x14ac:dyDescent="0.2">
      <c r="A115" s="24">
        <v>6.4870000000000001</v>
      </c>
      <c r="B115">
        <v>1.4735679922699161</v>
      </c>
    </row>
    <row r="116" spans="1:2" x14ac:dyDescent="0.2">
      <c r="A116" s="24">
        <v>6.02</v>
      </c>
      <c r="B116">
        <v>1.811457538573537</v>
      </c>
    </row>
    <row r="117" spans="1:2" x14ac:dyDescent="0.2">
      <c r="A117" s="24">
        <v>8.2059999999999995</v>
      </c>
      <c r="B117">
        <v>58.921857173409663</v>
      </c>
    </row>
    <row r="118" spans="1:2" x14ac:dyDescent="0.2">
      <c r="A118" s="24">
        <v>9.0289999999999999</v>
      </c>
      <c r="B118">
        <v>8.1661705436836964</v>
      </c>
    </row>
    <row r="119" spans="1:2" x14ac:dyDescent="0.2">
      <c r="A119" s="24">
        <v>4.8780000000000001</v>
      </c>
      <c r="B119">
        <v>25.626886154605462</v>
      </c>
    </row>
    <row r="120" spans="1:2" x14ac:dyDescent="0.2">
      <c r="A120" s="24">
        <v>5.6379999999999999</v>
      </c>
      <c r="B120">
        <v>7.6939746606230761</v>
      </c>
    </row>
    <row r="121" spans="1:2" x14ac:dyDescent="0.2">
      <c r="A121" s="24">
        <v>4.6100000000000003</v>
      </c>
      <c r="B121">
        <v>7.7760786944155917</v>
      </c>
    </row>
    <row r="122" spans="1:2" x14ac:dyDescent="0.2">
      <c r="A122" s="24">
        <v>4.9420000000000002</v>
      </c>
      <c r="B122">
        <v>0.61784295093622599</v>
      </c>
    </row>
    <row r="123" spans="1:2" x14ac:dyDescent="0.2">
      <c r="A123" s="24">
        <v>6.0060000000000002</v>
      </c>
      <c r="B123">
        <v>2.366138829787066</v>
      </c>
    </row>
    <row r="124" spans="1:2" x14ac:dyDescent="0.2">
      <c r="A124" s="24">
        <v>4.62</v>
      </c>
      <c r="B124">
        <v>0.28450885003635101</v>
      </c>
    </row>
    <row r="125" spans="1:2" x14ac:dyDescent="0.2">
      <c r="A125" s="24">
        <v>8.5549999999999997</v>
      </c>
      <c r="B125">
        <v>0.23219233070713999</v>
      </c>
    </row>
    <row r="126" spans="1:2" x14ac:dyDescent="0.2">
      <c r="A126" s="24">
        <v>8.734</v>
      </c>
      <c r="B126">
        <v>0.19814350513892401</v>
      </c>
    </row>
    <row r="127" spans="1:2" x14ac:dyDescent="0.2">
      <c r="A127" s="24">
        <v>5.9329999999999998</v>
      </c>
      <c r="B127">
        <v>0.83795954365025505</v>
      </c>
    </row>
    <row r="128" spans="1:2" x14ac:dyDescent="0.2">
      <c r="A128" s="24">
        <v>6.7409999999999997</v>
      </c>
      <c r="B128">
        <v>1.0736675635904021</v>
      </c>
    </row>
    <row r="129" spans="1:2" x14ac:dyDescent="0.2">
      <c r="A129" s="24">
        <v>6.234</v>
      </c>
      <c r="B129">
        <v>3.1533774494469009</v>
      </c>
    </row>
    <row r="130" spans="1:2" x14ac:dyDescent="0.2">
      <c r="A130" s="24">
        <v>7.3220000000000001</v>
      </c>
      <c r="B130">
        <v>51.012483786239827</v>
      </c>
    </row>
    <row r="131" spans="1:2" x14ac:dyDescent="0.2">
      <c r="A131" s="24">
        <v>6.73</v>
      </c>
      <c r="B131">
        <v>5.1981227699637786</v>
      </c>
    </row>
    <row r="132" spans="1:2" x14ac:dyDescent="0.2">
      <c r="A132" s="24">
        <v>7.444</v>
      </c>
      <c r="B132">
        <v>1.266848672052564</v>
      </c>
    </row>
    <row r="133" spans="1:2" x14ac:dyDescent="0.2">
      <c r="A133" s="24">
        <v>5.5190000000000001</v>
      </c>
      <c r="B133">
        <v>80.219633472341627</v>
      </c>
    </row>
    <row r="134" spans="1:2" x14ac:dyDescent="0.2">
      <c r="A134" s="24">
        <v>14.038</v>
      </c>
      <c r="B134">
        <v>99.549161314685151</v>
      </c>
    </row>
    <row r="135" spans="1:2" x14ac:dyDescent="0.2">
      <c r="A135" s="24">
        <v>4.7690000000000001</v>
      </c>
      <c r="B135">
        <v>1.0327861149153019</v>
      </c>
    </row>
    <row r="136" spans="1:2" x14ac:dyDescent="0.2">
      <c r="A136" s="24">
        <v>5.2779999999999996</v>
      </c>
      <c r="B136">
        <v>0.132047859645572</v>
      </c>
    </row>
    <row r="137" spans="1:2" x14ac:dyDescent="0.2">
      <c r="A137" s="24">
        <v>16.643999999999998</v>
      </c>
      <c r="B137">
        <v>1.469371009862398</v>
      </c>
    </row>
    <row r="138" spans="1:2" x14ac:dyDescent="0.2">
      <c r="A138" s="24">
        <v>4.6539999999999999</v>
      </c>
      <c r="B138">
        <v>3.8224980708062479</v>
      </c>
    </row>
    <row r="139" spans="1:2" x14ac:dyDescent="0.2">
      <c r="A139" s="24">
        <v>69.468999999999994</v>
      </c>
      <c r="B139">
        <v>4.5140937619094013</v>
      </c>
    </row>
    <row r="140" spans="1:2" x14ac:dyDescent="0.2">
      <c r="A140" s="24">
        <v>5.8680000000000003</v>
      </c>
      <c r="B140">
        <v>2.801613387393981</v>
      </c>
    </row>
    <row r="141" spans="1:2" x14ac:dyDescent="0.2">
      <c r="A141" s="24">
        <v>7.4269999999999996</v>
      </c>
      <c r="B141">
        <v>0.32133686878260098</v>
      </c>
    </row>
    <row r="142" spans="1:2" x14ac:dyDescent="0.2">
      <c r="A142" s="24">
        <v>5.4989999999999997</v>
      </c>
      <c r="B142">
        <v>0.44664322096985198</v>
      </c>
    </row>
    <row r="143" spans="1:2" x14ac:dyDescent="0.2">
      <c r="A143" s="24">
        <v>67.009</v>
      </c>
      <c r="B143">
        <v>0.67223870472819003</v>
      </c>
    </row>
    <row r="144" spans="1:2" x14ac:dyDescent="0.2">
      <c r="A144" s="24">
        <v>9.6950000000000003</v>
      </c>
      <c r="B144">
        <v>1.919767076818697</v>
      </c>
    </row>
    <row r="145" spans="1:2" x14ac:dyDescent="0.2">
      <c r="A145" s="24">
        <v>18.274000000000001</v>
      </c>
      <c r="B145">
        <v>2.25287065798994</v>
      </c>
    </row>
    <row r="146" spans="1:2" x14ac:dyDescent="0.2">
      <c r="A146" s="24">
        <v>4.843</v>
      </c>
      <c r="B146">
        <v>2.3353728182816802</v>
      </c>
    </row>
    <row r="147" spans="1:2" x14ac:dyDescent="0.2">
      <c r="A147" s="24">
        <v>7.72</v>
      </c>
      <c r="B147">
        <v>0.33767821607787601</v>
      </c>
    </row>
    <row r="148" spans="1:2" x14ac:dyDescent="0.2">
      <c r="A148" s="24">
        <v>9.4420000000000002</v>
      </c>
      <c r="B148">
        <v>0.95997943001536901</v>
      </c>
    </row>
    <row r="149" spans="1:2" x14ac:dyDescent="0.2">
      <c r="A149" s="24">
        <v>4.8639999999999999</v>
      </c>
      <c r="B149">
        <v>0.27437400823368502</v>
      </c>
    </row>
    <row r="150" spans="1:2" x14ac:dyDescent="0.2">
      <c r="A150" s="24">
        <v>8.1609999999999996</v>
      </c>
      <c r="B150">
        <v>0.340914147523741</v>
      </c>
    </row>
    <row r="151" spans="1:2" x14ac:dyDescent="0.2">
      <c r="A151" s="24">
        <v>7.9219999999999997</v>
      </c>
      <c r="B151">
        <v>1.065889141173253</v>
      </c>
    </row>
    <row r="152" spans="1:2" x14ac:dyDescent="0.2">
      <c r="A152" s="24">
        <v>8.3719999999999999</v>
      </c>
      <c r="B152">
        <v>1.0855406260591409</v>
      </c>
    </row>
    <row r="153" spans="1:2" x14ac:dyDescent="0.2">
      <c r="A153" s="24">
        <v>4.6980000000000004</v>
      </c>
      <c r="B153">
        <v>8.0347472407027443</v>
      </c>
    </row>
    <row r="154" spans="1:2" x14ac:dyDescent="0.2">
      <c r="A154" s="24">
        <v>5.0739999999999998</v>
      </c>
      <c r="B154">
        <v>5.0958782142331662</v>
      </c>
    </row>
    <row r="155" spans="1:2" x14ac:dyDescent="0.2">
      <c r="A155" s="24">
        <v>33.585999999999999</v>
      </c>
      <c r="B155">
        <v>0.25602817801491301</v>
      </c>
    </row>
    <row r="156" spans="1:2" x14ac:dyDescent="0.2">
      <c r="A156" s="24">
        <v>4.657</v>
      </c>
      <c r="B156">
        <v>7.8242671555992516</v>
      </c>
    </row>
    <row r="157" spans="1:2" x14ac:dyDescent="0.2">
      <c r="A157" s="24">
        <v>7.3460000000000001</v>
      </c>
      <c r="B157">
        <v>2.080241938199987</v>
      </c>
    </row>
    <row r="158" spans="1:2" x14ac:dyDescent="0.2">
      <c r="A158" s="24">
        <v>4.79</v>
      </c>
      <c r="B158">
        <v>2.472560789099103</v>
      </c>
    </row>
    <row r="159" spans="1:2" x14ac:dyDescent="0.2">
      <c r="A159" s="24">
        <v>5.05</v>
      </c>
      <c r="B159">
        <v>6.5836462827153577</v>
      </c>
    </row>
    <row r="160" spans="1:2" x14ac:dyDescent="0.2">
      <c r="A160" s="24">
        <v>6.0839999999999996</v>
      </c>
      <c r="B160">
        <v>63.548360104279801</v>
      </c>
    </row>
    <row r="161" spans="1:2" x14ac:dyDescent="0.2">
      <c r="A161" s="24">
        <v>7.0309999999999997</v>
      </c>
      <c r="B161">
        <v>1.0677534691808881</v>
      </c>
    </row>
    <row r="162" spans="1:2" x14ac:dyDescent="0.2">
      <c r="A162" s="24">
        <v>16.140999999999998</v>
      </c>
      <c r="B162">
        <v>1.655137883941264</v>
      </c>
    </row>
    <row r="163" spans="1:2" x14ac:dyDescent="0.2">
      <c r="A163" s="24">
        <v>5.2</v>
      </c>
      <c r="B163">
        <v>2.291919835374912</v>
      </c>
    </row>
    <row r="164" spans="1:2" x14ac:dyDescent="0.2">
      <c r="A164" s="24">
        <v>7.843</v>
      </c>
      <c r="B164">
        <v>1.14389909725731</v>
      </c>
    </row>
    <row r="165" spans="1:2" x14ac:dyDescent="0.2">
      <c r="A165" s="24">
        <v>5.8150000000000004</v>
      </c>
      <c r="B165">
        <v>56.593000864081951</v>
      </c>
    </row>
    <row r="166" spans="1:2" x14ac:dyDescent="0.2">
      <c r="A166" s="24">
        <v>4.9619999999999997</v>
      </c>
      <c r="B166">
        <v>2.7096416256233931</v>
      </c>
    </row>
    <row r="167" spans="1:2" x14ac:dyDescent="0.2">
      <c r="A167" s="24">
        <v>16.077999999999999</v>
      </c>
      <c r="B167">
        <v>1.245964220825664</v>
      </c>
    </row>
    <row r="168" spans="1:2" x14ac:dyDescent="0.2">
      <c r="A168" s="24">
        <v>85.835999999999999</v>
      </c>
      <c r="B168">
        <v>0.37104253922764802</v>
      </c>
    </row>
    <row r="169" spans="1:2" x14ac:dyDescent="0.2">
      <c r="A169" s="24">
        <v>9.08</v>
      </c>
      <c r="B169">
        <v>1.2279403087528999E-2</v>
      </c>
    </row>
    <row r="170" spans="1:2" x14ac:dyDescent="0.2">
      <c r="A170" s="24">
        <v>7.4009999999999998</v>
      </c>
      <c r="B170">
        <v>0.62348047260788897</v>
      </c>
    </row>
    <row r="171" spans="1:2" x14ac:dyDescent="0.2">
      <c r="A171" s="24">
        <v>6.9180000000000001</v>
      </c>
      <c r="B171">
        <v>0.188148479895038</v>
      </c>
    </row>
    <row r="172" spans="1:2" x14ac:dyDescent="0.2">
      <c r="A172" s="24">
        <v>5.2050000000000001</v>
      </c>
      <c r="B172">
        <v>1.335549191278909</v>
      </c>
    </row>
    <row r="173" spans="1:2" x14ac:dyDescent="0.2">
      <c r="A173" s="24">
        <v>7.7629999999999999</v>
      </c>
      <c r="B173">
        <v>0.49675301065190702</v>
      </c>
    </row>
    <row r="174" spans="1:2" x14ac:dyDescent="0.2">
      <c r="A174" s="24">
        <v>6.73</v>
      </c>
      <c r="B174">
        <v>2.0242117017695258</v>
      </c>
    </row>
    <row r="175" spans="1:2" x14ac:dyDescent="0.2">
      <c r="A175" s="24">
        <v>4.6120000000000001</v>
      </c>
      <c r="B175">
        <v>10.780061048480331</v>
      </c>
    </row>
    <row r="176" spans="1:2" x14ac:dyDescent="0.2">
      <c r="A176" s="24">
        <v>16.355</v>
      </c>
      <c r="B176">
        <v>3.042353790808745</v>
      </c>
    </row>
    <row r="177" spans="1:2" x14ac:dyDescent="0.2">
      <c r="A177" s="24">
        <v>8.3659999999999997</v>
      </c>
      <c r="B177">
        <v>0.47983066581927603</v>
      </c>
    </row>
    <row r="178" spans="1:2" x14ac:dyDescent="0.2">
      <c r="A178" s="24">
        <v>6.4710000000000001</v>
      </c>
      <c r="B178">
        <v>0.65944486836340599</v>
      </c>
    </row>
    <row r="179" spans="1:2" x14ac:dyDescent="0.2">
      <c r="A179" s="24">
        <v>7.8739999999999997</v>
      </c>
      <c r="B179">
        <v>129.82430671528081</v>
      </c>
    </row>
    <row r="180" spans="1:2" x14ac:dyDescent="0.2">
      <c r="A180" s="24">
        <v>7.9509999999999996</v>
      </c>
      <c r="B180">
        <v>3.1671033590047699</v>
      </c>
    </row>
    <row r="181" spans="1:2" x14ac:dyDescent="0.2">
      <c r="A181" s="24">
        <v>45.537999999999997</v>
      </c>
      <c r="B181">
        <v>3.0965391220783411</v>
      </c>
    </row>
    <row r="182" spans="1:2" x14ac:dyDescent="0.2">
      <c r="A182" s="24">
        <v>4.9580000000000002</v>
      </c>
      <c r="B182">
        <v>1.62475123428548</v>
      </c>
    </row>
    <row r="183" spans="1:2" x14ac:dyDescent="0.2">
      <c r="A183" s="24">
        <v>6.2610000000000001</v>
      </c>
      <c r="B183">
        <v>4.3111769910623634</v>
      </c>
    </row>
    <row r="184" spans="1:2" x14ac:dyDescent="0.2">
      <c r="A184" s="24">
        <v>4.694</v>
      </c>
      <c r="B184">
        <v>5.2156198568030501</v>
      </c>
    </row>
    <row r="185" spans="1:2" x14ac:dyDescent="0.2">
      <c r="A185" s="24">
        <v>4.62</v>
      </c>
      <c r="B185">
        <v>8.9418684513196229</v>
      </c>
    </row>
    <row r="186" spans="1:2" x14ac:dyDescent="0.2">
      <c r="A186" s="24">
        <v>5.4690000000000003</v>
      </c>
      <c r="B186">
        <v>1.2927354514162059</v>
      </c>
    </row>
    <row r="187" spans="1:2" x14ac:dyDescent="0.2">
      <c r="A187" s="24">
        <v>8.1219999999999999</v>
      </c>
      <c r="B187">
        <v>10.864830015148581</v>
      </c>
    </row>
    <row r="188" spans="1:2" x14ac:dyDescent="0.2">
      <c r="A188" s="24">
        <v>21</v>
      </c>
      <c r="B188">
        <v>0.26382483683320201</v>
      </c>
    </row>
    <row r="189" spans="1:2" x14ac:dyDescent="0.2">
      <c r="A189" s="24">
        <v>6.3310000000000004</v>
      </c>
      <c r="B189">
        <v>1.1593184105624379</v>
      </c>
    </row>
    <row r="190" spans="1:2" x14ac:dyDescent="0.2">
      <c r="A190" s="24">
        <v>4.625</v>
      </c>
      <c r="B190">
        <v>90.992562702100827</v>
      </c>
    </row>
    <row r="191" spans="1:2" x14ac:dyDescent="0.2">
      <c r="A191" s="24">
        <v>4.6890000000000001</v>
      </c>
      <c r="B191">
        <v>24.325628566312819</v>
      </c>
    </row>
    <row r="192" spans="1:2" x14ac:dyDescent="0.2">
      <c r="A192" s="24">
        <v>5.3129999999999997</v>
      </c>
      <c r="B192">
        <v>1.150442103868456</v>
      </c>
    </row>
    <row r="193" spans="1:2" x14ac:dyDescent="0.2">
      <c r="A193" s="24">
        <v>35.942999999999998</v>
      </c>
      <c r="B193">
        <v>4.86161865042624</v>
      </c>
    </row>
    <row r="194" spans="1:2" x14ac:dyDescent="0.2">
      <c r="A194" s="24">
        <v>5.298</v>
      </c>
      <c r="B194">
        <v>0.76254508658443698</v>
      </c>
    </row>
    <row r="195" spans="1:2" x14ac:dyDescent="0.2">
      <c r="A195" s="24">
        <v>6.2770000000000001</v>
      </c>
      <c r="B195">
        <v>0.98236097774847797</v>
      </c>
    </row>
    <row r="196" spans="1:2" x14ac:dyDescent="0.2">
      <c r="A196" s="24">
        <v>7.4809999999999999</v>
      </c>
      <c r="B196">
        <v>2.7943874070586912</v>
      </c>
    </row>
    <row r="197" spans="1:2" x14ac:dyDescent="0.2">
      <c r="A197" s="24">
        <v>4.7270000000000003</v>
      </c>
      <c r="B197">
        <v>3.7544850157577092</v>
      </c>
    </row>
    <row r="198" spans="1:2" x14ac:dyDescent="0.2">
      <c r="A198" s="24">
        <v>4.8410000000000002</v>
      </c>
      <c r="B198">
        <v>1.9172490970418521</v>
      </c>
    </row>
    <row r="199" spans="1:2" x14ac:dyDescent="0.2">
      <c r="A199" s="24">
        <v>6.76</v>
      </c>
      <c r="B199">
        <v>3.1310280214165149</v>
      </c>
    </row>
    <row r="200" spans="1:2" x14ac:dyDescent="0.2">
      <c r="A200" s="24">
        <v>25.568000000000001</v>
      </c>
      <c r="B200">
        <v>0.68128780318362303</v>
      </c>
    </row>
    <row r="201" spans="1:2" x14ac:dyDescent="0.2">
      <c r="A201" s="24">
        <v>8.5069999999999997</v>
      </c>
      <c r="B201">
        <v>4.2360337512351999E-2</v>
      </c>
    </row>
    <row r="202" spans="1:2" x14ac:dyDescent="0.2">
      <c r="A202" s="24">
        <v>4.6180000000000003</v>
      </c>
      <c r="B202">
        <v>1.9711021381951079</v>
      </c>
    </row>
    <row r="203" spans="1:2" x14ac:dyDescent="0.2">
      <c r="A203" s="24">
        <v>4.6449999999999996</v>
      </c>
      <c r="B203">
        <v>4.251725236126279</v>
      </c>
    </row>
    <row r="204" spans="1:2" x14ac:dyDescent="0.2">
      <c r="A204" s="24">
        <v>66.064999999999998</v>
      </c>
      <c r="B204">
        <v>5.7808586335899995E-4</v>
      </c>
    </row>
    <row r="205" spans="1:2" x14ac:dyDescent="0.2">
      <c r="A205" s="24">
        <v>9.7430000000000003</v>
      </c>
      <c r="B205">
        <v>120.75812528265411</v>
      </c>
    </row>
    <row r="206" spans="1:2" x14ac:dyDescent="0.2">
      <c r="A206" s="24">
        <v>33.363</v>
      </c>
      <c r="B206">
        <v>2.911699652635293</v>
      </c>
    </row>
    <row r="207" spans="1:2" x14ac:dyDescent="0.2">
      <c r="A207" s="24">
        <v>6.37</v>
      </c>
      <c r="B207">
        <v>1.717089355446304</v>
      </c>
    </row>
    <row r="208" spans="1:2" x14ac:dyDescent="0.2">
      <c r="A208" s="24">
        <v>5.7409999999999997</v>
      </c>
      <c r="B208">
        <v>144.0230792194937</v>
      </c>
    </row>
    <row r="209" spans="1:2" x14ac:dyDescent="0.2">
      <c r="A209" s="24">
        <v>6.4189999999999996</v>
      </c>
      <c r="B209">
        <v>0.77058771933947301</v>
      </c>
    </row>
    <row r="210" spans="1:2" x14ac:dyDescent="0.2">
      <c r="A210" s="24">
        <v>7.2270000000000003</v>
      </c>
      <c r="B210">
        <v>5.6009719270227496</v>
      </c>
    </row>
    <row r="211" spans="1:2" x14ac:dyDescent="0.2">
      <c r="A211" s="24">
        <v>9.6549999999999994</v>
      </c>
      <c r="B211">
        <v>0.16325628599408701</v>
      </c>
    </row>
    <row r="212" spans="1:2" x14ac:dyDescent="0.2">
      <c r="A212" s="24">
        <v>15.372999999999999</v>
      </c>
      <c r="B212">
        <v>39.053793840929039</v>
      </c>
    </row>
    <row r="213" spans="1:2" x14ac:dyDescent="0.2">
      <c r="A213" s="24">
        <v>27.791</v>
      </c>
      <c r="B213">
        <v>1.9311014158082631</v>
      </c>
    </row>
    <row r="214" spans="1:2" x14ac:dyDescent="0.2">
      <c r="A214" s="24">
        <v>5.0540000000000003</v>
      </c>
      <c r="B214">
        <v>0.73383458504978005</v>
      </c>
    </row>
    <row r="215" spans="1:2" x14ac:dyDescent="0.2">
      <c r="A215" s="24">
        <v>5.83</v>
      </c>
      <c r="B215">
        <v>1.6722752668262091</v>
      </c>
    </row>
    <row r="216" spans="1:2" x14ac:dyDescent="0.2">
      <c r="A216" s="24">
        <v>5.3760000000000003</v>
      </c>
      <c r="B216">
        <v>2.801930745814659</v>
      </c>
    </row>
    <row r="217" spans="1:2" x14ac:dyDescent="0.2">
      <c r="A217" s="24">
        <v>5.7160000000000002</v>
      </c>
      <c r="B217">
        <v>12.7459755210142</v>
      </c>
    </row>
    <row r="218" spans="1:2" x14ac:dyDescent="0.2">
      <c r="A218" s="24">
        <v>8.5039999999999996</v>
      </c>
      <c r="B218">
        <v>1.039349839794586</v>
      </c>
    </row>
    <row r="219" spans="1:2" x14ac:dyDescent="0.2">
      <c r="A219" s="24">
        <v>6.1369999999999996</v>
      </c>
      <c r="B219">
        <v>2.476252608594455</v>
      </c>
    </row>
    <row r="220" spans="1:2" x14ac:dyDescent="0.2">
      <c r="A220" s="24">
        <v>4.6159999999999997</v>
      </c>
      <c r="B220">
        <v>24.9109487110942</v>
      </c>
    </row>
    <row r="221" spans="1:2" x14ac:dyDescent="0.2">
      <c r="A221" s="24">
        <v>4.99</v>
      </c>
      <c r="B221">
        <v>9.1657803410042996E-2</v>
      </c>
    </row>
    <row r="222" spans="1:2" x14ac:dyDescent="0.2">
      <c r="A222" s="24">
        <v>26.254999999999999</v>
      </c>
      <c r="B222">
        <v>2.914009883509348</v>
      </c>
    </row>
    <row r="223" spans="1:2" x14ac:dyDescent="0.2">
      <c r="A223" s="24">
        <v>5.734</v>
      </c>
      <c r="B223">
        <v>0.63026304743153605</v>
      </c>
    </row>
    <row r="224" spans="1:2" x14ac:dyDescent="0.2">
      <c r="A224" s="24">
        <v>4.7939999999999996</v>
      </c>
      <c r="B224">
        <v>4.2773469462953004</v>
      </c>
    </row>
    <row r="225" spans="1:2" x14ac:dyDescent="0.2">
      <c r="A225" s="24">
        <v>6.9160000000000004</v>
      </c>
      <c r="B225">
        <v>6.0076380285462356</v>
      </c>
    </row>
    <row r="226" spans="1:2" x14ac:dyDescent="0.2">
      <c r="A226" s="24">
        <v>6.6029999999999998</v>
      </c>
      <c r="B226">
        <v>4.7528684117570723</v>
      </c>
    </row>
    <row r="227" spans="1:2" x14ac:dyDescent="0.2">
      <c r="A227" s="24">
        <v>8.3130000000000006</v>
      </c>
      <c r="B227">
        <v>31.695275944512058</v>
      </c>
    </row>
    <row r="228" spans="1:2" x14ac:dyDescent="0.2">
      <c r="A228" s="24">
        <v>8.7620000000000005</v>
      </c>
      <c r="B228">
        <v>3.8262000954705</v>
      </c>
    </row>
    <row r="229" spans="1:2" x14ac:dyDescent="0.2">
      <c r="A229" s="24">
        <v>44.622999999999998</v>
      </c>
      <c r="B229">
        <v>4.9635095132348566</v>
      </c>
    </row>
    <row r="230" spans="1:2" x14ac:dyDescent="0.2">
      <c r="A230" s="24">
        <v>4.6349999999999998</v>
      </c>
      <c r="B230">
        <v>1.8486310432266551</v>
      </c>
    </row>
    <row r="231" spans="1:2" x14ac:dyDescent="0.2">
      <c r="A231" s="24">
        <v>8.7010000000000005</v>
      </c>
      <c r="B231">
        <v>0.49144337728805398</v>
      </c>
    </row>
    <row r="232" spans="1:2" x14ac:dyDescent="0.2">
      <c r="A232" s="24">
        <v>49.372999999999998</v>
      </c>
      <c r="B232">
        <v>2.7021317684920652</v>
      </c>
    </row>
    <row r="233" spans="1:2" x14ac:dyDescent="0.2">
      <c r="A233" s="24">
        <v>9.202</v>
      </c>
      <c r="B233">
        <v>1.6715972884072949</v>
      </c>
    </row>
    <row r="234" spans="1:2" x14ac:dyDescent="0.2">
      <c r="A234" s="24">
        <v>9.3230000000000004</v>
      </c>
      <c r="B234">
        <v>0.268134398912584</v>
      </c>
    </row>
    <row r="235" spans="1:2" x14ac:dyDescent="0.2">
      <c r="A235" s="24">
        <v>6.9790000000000001</v>
      </c>
      <c r="B235">
        <v>0.69465110498953797</v>
      </c>
    </row>
    <row r="236" spans="1:2" x14ac:dyDescent="0.2">
      <c r="A236" s="24">
        <v>5.806</v>
      </c>
      <c r="B236">
        <v>0.39829036610610502</v>
      </c>
    </row>
    <row r="237" spans="1:2" x14ac:dyDescent="0.2">
      <c r="A237" s="24">
        <v>5.87</v>
      </c>
      <c r="B237">
        <v>1.184635862803749</v>
      </c>
    </row>
    <row r="238" spans="1:2" x14ac:dyDescent="0.2">
      <c r="A238" s="24">
        <v>9.718</v>
      </c>
      <c r="B238">
        <v>1.3972923338338019</v>
      </c>
    </row>
    <row r="239" spans="1:2" x14ac:dyDescent="0.2">
      <c r="A239" s="24">
        <v>4.6879999999999997</v>
      </c>
      <c r="B239">
        <v>0.35919026895341899</v>
      </c>
    </row>
    <row r="240" spans="1:2" x14ac:dyDescent="0.2">
      <c r="A240" s="24">
        <v>5.0359999999999996</v>
      </c>
      <c r="B240">
        <v>6.4646550708681358</v>
      </c>
    </row>
    <row r="241" spans="1:2" x14ac:dyDescent="0.2">
      <c r="A241" s="24">
        <v>5.5469999999999997</v>
      </c>
      <c r="B241">
        <v>3.1206608937586719</v>
      </c>
    </row>
    <row r="242" spans="1:2" x14ac:dyDescent="0.2">
      <c r="A242" s="24">
        <v>7.4660000000000002</v>
      </c>
      <c r="B242">
        <v>0.28946940185111403</v>
      </c>
    </row>
    <row r="243" spans="1:2" x14ac:dyDescent="0.2">
      <c r="A243" s="24">
        <v>7.4260000000000002</v>
      </c>
      <c r="B243">
        <v>0.91185201165394303</v>
      </c>
    </row>
    <row r="244" spans="1:2" x14ac:dyDescent="0.2">
      <c r="A244" s="24">
        <v>4.6550000000000002</v>
      </c>
      <c r="B244">
        <v>6.6358708717083914</v>
      </c>
    </row>
    <row r="245" spans="1:2" x14ac:dyDescent="0.2">
      <c r="A245" s="24">
        <v>6.9420000000000002</v>
      </c>
      <c r="B245">
        <v>5.2663866607640628</v>
      </c>
    </row>
    <row r="246" spans="1:2" x14ac:dyDescent="0.2">
      <c r="A246" s="24">
        <v>5.0910000000000002</v>
      </c>
      <c r="B246">
        <v>2.2308284442494801</v>
      </c>
    </row>
    <row r="247" spans="1:2" x14ac:dyDescent="0.2">
      <c r="A247" s="24">
        <v>4.6130000000000004</v>
      </c>
      <c r="B247">
        <v>0.58961568995980695</v>
      </c>
    </row>
    <row r="248" spans="1:2" x14ac:dyDescent="0.2">
      <c r="A248" s="24">
        <v>8.5050000000000008</v>
      </c>
      <c r="B248">
        <v>58.876529411768352</v>
      </c>
    </row>
    <row r="249" spans="1:2" x14ac:dyDescent="0.2">
      <c r="A249" s="24">
        <v>4.8920000000000003</v>
      </c>
      <c r="B249">
        <v>3.151564746949064</v>
      </c>
    </row>
    <row r="250" spans="1:2" x14ac:dyDescent="0.2">
      <c r="A250" s="24">
        <v>96.433999999999997</v>
      </c>
      <c r="B250">
        <v>8.9329535719375006E-2</v>
      </c>
    </row>
    <row r="251" spans="1:2" x14ac:dyDescent="0.2">
      <c r="A251" s="24">
        <v>9.5079999999999991</v>
      </c>
      <c r="B251">
        <v>2.7605753915510038</v>
      </c>
    </row>
    <row r="252" spans="1:2" x14ac:dyDescent="0.2">
      <c r="A252" s="24">
        <v>7.2160000000000002</v>
      </c>
      <c r="B252">
        <v>55.684511783759781</v>
      </c>
    </row>
    <row r="253" spans="1:2" x14ac:dyDescent="0.2">
      <c r="A253" s="24">
        <v>9.5500000000000007</v>
      </c>
      <c r="B253">
        <v>30.72655578288996</v>
      </c>
    </row>
    <row r="254" spans="1:2" x14ac:dyDescent="0.2">
      <c r="A254" s="24">
        <v>4.9779999999999998</v>
      </c>
      <c r="B254">
        <v>137.04151939255311</v>
      </c>
    </row>
    <row r="255" spans="1:2" x14ac:dyDescent="0.2">
      <c r="A255" s="24">
        <v>8.891</v>
      </c>
      <c r="B255">
        <v>2.6335764604120571</v>
      </c>
    </row>
    <row r="256" spans="1:2" x14ac:dyDescent="0.2">
      <c r="A256" s="24">
        <v>273.30399999999997</v>
      </c>
      <c r="B256">
        <v>3.597604257307887</v>
      </c>
    </row>
    <row r="257" spans="1:2" x14ac:dyDescent="0.2">
      <c r="A257" s="24">
        <v>66.930000000000007</v>
      </c>
      <c r="B257">
        <v>78.673298115891512</v>
      </c>
    </row>
    <row r="258" spans="1:2" x14ac:dyDescent="0.2">
      <c r="A258" s="24">
        <v>9.27</v>
      </c>
      <c r="B258">
        <v>2.3127682626116779</v>
      </c>
    </row>
    <row r="259" spans="1:2" x14ac:dyDescent="0.2">
      <c r="A259" s="24">
        <v>23.931999999999999</v>
      </c>
      <c r="B259">
        <v>10.22239377308081</v>
      </c>
    </row>
    <row r="260" spans="1:2" x14ac:dyDescent="0.2">
      <c r="A260" s="24">
        <v>55.281999999999996</v>
      </c>
      <c r="B260">
        <v>9.1779451693126998E-2</v>
      </c>
    </row>
    <row r="261" spans="1:2" x14ac:dyDescent="0.2">
      <c r="A261" s="24">
        <v>20.449000000000002</v>
      </c>
      <c r="B261">
        <v>7.2720147175511798</v>
      </c>
    </row>
    <row r="262" spans="1:2" x14ac:dyDescent="0.2">
      <c r="A262" s="24">
        <v>5.2789999999999999</v>
      </c>
      <c r="B262">
        <v>2.2038790551006868</v>
      </c>
    </row>
    <row r="263" spans="1:2" x14ac:dyDescent="0.2">
      <c r="A263" s="24">
        <v>5.7889999999999997</v>
      </c>
      <c r="B263">
        <v>2.8447863393960371</v>
      </c>
    </row>
    <row r="264" spans="1:2" x14ac:dyDescent="0.2">
      <c r="A264" s="24">
        <v>4.6399999999999997</v>
      </c>
      <c r="B264">
        <v>3.127381671738199</v>
      </c>
    </row>
    <row r="265" spans="1:2" x14ac:dyDescent="0.2">
      <c r="A265" s="24">
        <v>7.5679999999999996</v>
      </c>
      <c r="B265">
        <v>85.994577071758997</v>
      </c>
    </row>
    <row r="266" spans="1:2" x14ac:dyDescent="0.2">
      <c r="A266" s="24">
        <v>5.3239999999999998</v>
      </c>
      <c r="B266">
        <v>4.5700184120083032</v>
      </c>
    </row>
    <row r="267" spans="1:2" x14ac:dyDescent="0.2">
      <c r="A267" s="24">
        <v>6.6210000000000004</v>
      </c>
      <c r="B267">
        <v>51.394270442609169</v>
      </c>
    </row>
    <row r="268" spans="1:2" x14ac:dyDescent="0.2">
      <c r="A268" s="24">
        <v>5.3339999999999996</v>
      </c>
      <c r="B268">
        <v>1.878728024629434</v>
      </c>
    </row>
    <row r="269" spans="1:2" x14ac:dyDescent="0.2">
      <c r="A269" s="24">
        <v>4.6959999999999997</v>
      </c>
      <c r="B269">
        <v>4.8105627986861039</v>
      </c>
    </row>
    <row r="270" spans="1:2" x14ac:dyDescent="0.2">
      <c r="A270" s="24">
        <v>5.32</v>
      </c>
      <c r="B270">
        <v>0.26824687842329697</v>
      </c>
    </row>
    <row r="271" spans="1:2" x14ac:dyDescent="0.2">
      <c r="A271" s="24">
        <v>8.9109999999999996</v>
      </c>
      <c r="B271">
        <v>1.0385757574473331</v>
      </c>
    </row>
    <row r="272" spans="1:2" x14ac:dyDescent="0.2">
      <c r="A272" s="24">
        <v>9.484</v>
      </c>
      <c r="B272">
        <v>6.0650493488809999E-3</v>
      </c>
    </row>
    <row r="273" spans="1:2" x14ac:dyDescent="0.2">
      <c r="A273" s="24">
        <v>6.0369999999999999</v>
      </c>
      <c r="B273">
        <v>1.74562025183433</v>
      </c>
    </row>
    <row r="274" spans="1:2" x14ac:dyDescent="0.2">
      <c r="A274" s="24">
        <v>7.4260000000000002</v>
      </c>
      <c r="B274">
        <v>4.6453811096803728</v>
      </c>
    </row>
    <row r="275" spans="1:2" x14ac:dyDescent="0.2">
      <c r="A275" s="24">
        <v>8.1219999999999999</v>
      </c>
      <c r="B275">
        <v>0.546974576111943</v>
      </c>
    </row>
    <row r="276" spans="1:2" x14ac:dyDescent="0.2">
      <c r="A276" s="24">
        <v>66.733999999999995</v>
      </c>
      <c r="B276">
        <v>1.262541697300879</v>
      </c>
    </row>
    <row r="277" spans="1:2" x14ac:dyDescent="0.2">
      <c r="A277" s="24">
        <v>4.6239999999999997</v>
      </c>
      <c r="B277">
        <v>3.3406648452265348</v>
      </c>
    </row>
    <row r="278" spans="1:2" x14ac:dyDescent="0.2">
      <c r="A278" s="24">
        <v>4.9509999999999996</v>
      </c>
      <c r="B278">
        <v>1.5192712928294709</v>
      </c>
    </row>
    <row r="279" spans="1:2" x14ac:dyDescent="0.2">
      <c r="A279" s="24">
        <v>5.9870000000000001</v>
      </c>
      <c r="B279">
        <v>10.27706262092528</v>
      </c>
    </row>
    <row r="280" spans="1:2" x14ac:dyDescent="0.2">
      <c r="A280" s="24">
        <v>5.4969999999999999</v>
      </c>
      <c r="B280">
        <v>1.0006031931060191</v>
      </c>
    </row>
    <row r="281" spans="1:2" x14ac:dyDescent="0.2">
      <c r="A281" s="24">
        <v>49.82</v>
      </c>
      <c r="B281">
        <v>1.822533375927764</v>
      </c>
    </row>
    <row r="282" spans="1:2" x14ac:dyDescent="0.2">
      <c r="A282" s="24">
        <v>53.902999999999999</v>
      </c>
      <c r="B282">
        <v>1.668048576416671</v>
      </c>
    </row>
    <row r="283" spans="1:2" x14ac:dyDescent="0.2">
      <c r="A283" s="24">
        <v>8.3469999999999995</v>
      </c>
      <c r="B283">
        <v>0.82865490400630004</v>
      </c>
    </row>
    <row r="284" spans="1:2" x14ac:dyDescent="0.2">
      <c r="A284" s="24">
        <v>9.31</v>
      </c>
      <c r="B284">
        <v>5.4350370738779699</v>
      </c>
    </row>
    <row r="285" spans="1:2" x14ac:dyDescent="0.2">
      <c r="A285" s="24">
        <v>5.4749999999999996</v>
      </c>
      <c r="B285">
        <v>4.8189745307467833</v>
      </c>
    </row>
    <row r="286" spans="1:2" x14ac:dyDescent="0.2">
      <c r="A286" s="24">
        <v>4.875</v>
      </c>
      <c r="B286">
        <v>7.9046857748319002E-2</v>
      </c>
    </row>
    <row r="287" spans="1:2" x14ac:dyDescent="0.2">
      <c r="A287" s="24">
        <v>48.32</v>
      </c>
      <c r="B287">
        <v>1.403918186150579</v>
      </c>
    </row>
    <row r="288" spans="1:2" x14ac:dyDescent="0.2">
      <c r="A288" s="24">
        <v>8.3670000000000009</v>
      </c>
      <c r="B288">
        <v>5.9129583889352286</v>
      </c>
    </row>
    <row r="289" spans="1:2" x14ac:dyDescent="0.2">
      <c r="A289" s="24">
        <v>7.0789999999999997</v>
      </c>
      <c r="B289">
        <v>117.5130828916478</v>
      </c>
    </row>
    <row r="290" spans="1:2" x14ac:dyDescent="0.2">
      <c r="A290" s="24">
        <v>5.407</v>
      </c>
      <c r="B290">
        <v>67.688800467744457</v>
      </c>
    </row>
    <row r="291" spans="1:2" x14ac:dyDescent="0.2">
      <c r="A291" s="24">
        <v>15.542</v>
      </c>
      <c r="B291">
        <v>4.1194410680667941</v>
      </c>
    </row>
    <row r="292" spans="1:2" x14ac:dyDescent="0.2">
      <c r="A292" s="24">
        <v>14.11</v>
      </c>
      <c r="B292">
        <v>0.42419843840537902</v>
      </c>
    </row>
    <row r="293" spans="1:2" x14ac:dyDescent="0.2">
      <c r="A293" s="24">
        <v>4.7569999999999997</v>
      </c>
      <c r="B293">
        <v>102.2879519113517</v>
      </c>
    </row>
    <row r="294" spans="1:2" x14ac:dyDescent="0.2">
      <c r="A294" s="24">
        <v>8.1289999999999996</v>
      </c>
      <c r="B294">
        <v>0.435136678388788</v>
      </c>
    </row>
    <row r="295" spans="1:2" x14ac:dyDescent="0.2">
      <c r="A295" s="24">
        <v>4.8949999999999996</v>
      </c>
      <c r="B295">
        <v>4.5130201850409808</v>
      </c>
    </row>
    <row r="296" spans="1:2" x14ac:dyDescent="0.2">
      <c r="A296" s="24">
        <v>5.7910000000000004</v>
      </c>
      <c r="B296">
        <v>1.568061376176545</v>
      </c>
    </row>
    <row r="297" spans="1:2" x14ac:dyDescent="0.2">
      <c r="A297" s="24">
        <v>23.228000000000002</v>
      </c>
      <c r="B297">
        <v>2.2376833163909451</v>
      </c>
    </row>
    <row r="298" spans="1:2" x14ac:dyDescent="0.2">
      <c r="A298" s="24">
        <v>29.795000000000002</v>
      </c>
      <c r="B298">
        <v>2.1059884783885972</v>
      </c>
    </row>
    <row r="299" spans="1:2" x14ac:dyDescent="0.2">
      <c r="A299" s="24">
        <v>4.9610000000000003</v>
      </c>
      <c r="B299">
        <v>0.97364925319171802</v>
      </c>
    </row>
    <row r="300" spans="1:2" x14ac:dyDescent="0.2">
      <c r="A300" s="24">
        <v>5.8129999999999997</v>
      </c>
      <c r="B300">
        <v>2.2760580760931561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Николаенко Виктор Олегович</dc:creator>
  <cp:lastModifiedBy>Кудияш Егор Михайлович</cp:lastModifiedBy>
  <dcterms:created xsi:type="dcterms:W3CDTF">2025-09-30T07:59:08Z</dcterms:created>
  <dcterms:modified xsi:type="dcterms:W3CDTF">2025-10-13T10:47:53Z</dcterms:modified>
</cp:coreProperties>
</file>